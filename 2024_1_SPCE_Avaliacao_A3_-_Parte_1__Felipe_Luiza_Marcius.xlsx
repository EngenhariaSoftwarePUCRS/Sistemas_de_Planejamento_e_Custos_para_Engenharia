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D:\Programming\EngenhariaSoftwarePUCRS\Sistemas_de_Planejamento_e_Custos_para_Engenharia\"/>
    </mc:Choice>
  </mc:AlternateContent>
  <xr:revisionPtr revIDLastSave="0" documentId="13_ncr:1_{9E4645EF-6C18-4403-861E-9DDB6D79FF0D}" xr6:coauthVersionLast="47" xr6:coauthVersionMax="47" xr10:uidLastSave="{00000000-0000-0000-0000-000000000000}"/>
  <bookViews>
    <workbookView xWindow="19200" yWindow="0" windowWidth="19200" windowHeight="16200" firstSheet="1" activeTab="4" xr2:uid="{00000000-000D-0000-FFFF-FFFF00000000}"/>
  </bookViews>
  <sheets>
    <sheet name="Integrantes" sheetId="1" r:id="rId1"/>
    <sheet name="T Base (enunciado)" sheetId="2" r:id="rId2"/>
    <sheet name="T Participações Relativas" sheetId="11" r:id="rId3"/>
    <sheet name="T CR&amp;AC" sheetId="13" r:id="rId4"/>
    <sheet name="Resultados" sheetId="10" r:id="rId5"/>
    <sheet name="Fórmulas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6" i="10"/>
  <c r="D17" i="10"/>
  <c r="D16" i="10"/>
  <c r="J9" i="13"/>
  <c r="J8" i="13"/>
  <c r="I9" i="13"/>
  <c r="I8" i="13"/>
  <c r="F9" i="13"/>
  <c r="F8" i="13"/>
  <c r="C9" i="13"/>
  <c r="D9" i="13" s="1"/>
  <c r="C8" i="13"/>
  <c r="G8" i="13" s="1"/>
  <c r="A3" i="12"/>
  <c r="A9" i="12" s="1"/>
  <c r="A6" i="12"/>
  <c r="E7" i="2"/>
  <c r="D7" i="2"/>
  <c r="E6" i="2"/>
  <c r="D6" i="2"/>
  <c r="D11" i="10" a="1"/>
  <c r="D11" i="10" s="1"/>
  <c r="D10" i="10"/>
  <c r="F13" i="12"/>
  <c r="D13" i="12"/>
  <c r="B13" i="12"/>
  <c r="F12" i="11"/>
  <c r="F14" i="11" s="1"/>
  <c r="E12" i="11"/>
  <c r="E14" i="11" s="1"/>
  <c r="F5" i="11"/>
  <c r="F7" i="11" s="1"/>
  <c r="F9" i="11" s="1"/>
  <c r="E5" i="11"/>
  <c r="E7" i="11" s="1"/>
  <c r="E9" i="11" s="1"/>
  <c r="F4" i="11"/>
  <c r="E4" i="11"/>
  <c r="C29" i="2"/>
  <c r="C28" i="2"/>
  <c r="F11" i="13" l="1"/>
  <c r="D8" i="13"/>
  <c r="D11" i="13" s="1"/>
  <c r="E9" i="13" s="1"/>
  <c r="G9" i="13"/>
  <c r="D13" i="10"/>
  <c r="D15" i="10" s="1"/>
  <c r="D12" i="10"/>
  <c r="D14" i="10" s="1"/>
  <c r="F15" i="11"/>
  <c r="E15" i="11"/>
  <c r="C30" i="2"/>
  <c r="E8" i="13" l="1"/>
  <c r="E11" i="13" s="1"/>
  <c r="I11" i="13"/>
  <c r="G11" i="13"/>
  <c r="H8" i="13" s="1"/>
  <c r="J11" i="13" l="1"/>
  <c r="H9" i="13"/>
  <c r="H11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<sst xmlns="http://schemas.openxmlformats.org/spreadsheetml/2006/main" count="132" uniqueCount="96">
  <si>
    <t>Integrantes</t>
  </si>
  <si>
    <t>Felipe Freitas Silva</t>
  </si>
  <si>
    <t>Luiza Heller Kroeff Plá</t>
  </si>
  <si>
    <t>Marcius Moraes Vargas</t>
  </si>
  <si>
    <t>(horas por unidade)</t>
  </si>
  <si>
    <t>(horas por mês)</t>
  </si>
  <si>
    <t>($ por unidade)</t>
  </si>
  <si>
    <t>Quantidade</t>
  </si>
  <si>
    <t>Produtos</t>
  </si>
  <si>
    <t>Custo Variável Direto Unitário</t>
  </si>
  <si>
    <t>Fabricação</t>
  </si>
  <si>
    <t>Montagem</t>
  </si>
  <si>
    <t>A</t>
  </si>
  <si>
    <t>B</t>
  </si>
  <si>
    <t>Custo Fixo Direto</t>
  </si>
  <si>
    <t>Capacidade Instalada</t>
  </si>
  <si>
    <t>Custo Fixo Indireto</t>
  </si>
  <si>
    <t>($ por mês)</t>
  </si>
  <si>
    <t>Preço de Venda Unitário</t>
  </si>
  <si>
    <t>Demanda Estimada</t>
  </si>
  <si>
    <t>(unidades por mês)</t>
  </si>
  <si>
    <t>Ponto de Equilibrio</t>
  </si>
  <si>
    <t xml:space="preserve">Custo Total = </t>
  </si>
  <si>
    <t>x</t>
  </si>
  <si>
    <t>+</t>
  </si>
  <si>
    <t>Custo Fixo</t>
  </si>
  <si>
    <t>Lucro =</t>
  </si>
  <si>
    <t>Receita Total</t>
  </si>
  <si>
    <t>-</t>
  </si>
  <si>
    <t>Receita Total =</t>
  </si>
  <si>
    <t>Custo Total</t>
  </si>
  <si>
    <t>Quantidade Vendida</t>
  </si>
  <si>
    <t>Quantidade Produzida</t>
  </si>
  <si>
    <t>Se Quantidade Produzida = Quantidade Vendida</t>
  </si>
  <si>
    <t>(Preço Venda - Custo Variável)</t>
  </si>
  <si>
    <t>ϖ</t>
  </si>
  <si>
    <t>Q</t>
  </si>
  <si>
    <t>V</t>
  </si>
  <si>
    <t>Custo Variável Unitário</t>
  </si>
  <si>
    <t>Preço Venda Unitário</t>
  </si>
  <si>
    <t>F</t>
  </si>
  <si>
    <t>P</t>
  </si>
  <si>
    <t>ϖ =</t>
  </si>
  <si>
    <t>ϖA =</t>
  </si>
  <si>
    <t>ϖB =</t>
  </si>
  <si>
    <r>
      <t>MCU</t>
    </r>
    <r>
      <rPr>
        <sz val="9"/>
        <color theme="1"/>
        <rFont val="Aptos Narrow"/>
        <family val="2"/>
        <scheme val="minor"/>
      </rPr>
      <t>x</t>
    </r>
  </si>
  <si>
    <r>
      <t>MCU</t>
    </r>
    <r>
      <rPr>
        <sz val="9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</si>
  <si>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r>
      <t>P</t>
    </r>
    <r>
      <rPr>
        <sz val="9"/>
        <color theme="1"/>
        <rFont val="Aptos Narrow"/>
        <family val="2"/>
        <scheme val="minor"/>
      </rPr>
      <t>x</t>
    </r>
  </si>
  <si>
    <t>Vx</t>
  </si>
  <si>
    <t>Margem de Contribuição Unitária</t>
  </si>
  <si>
    <t>Razão de Contribuição</t>
  </si>
  <si>
    <r>
      <t>RC</t>
    </r>
    <r>
      <rPr>
        <sz val="9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</si>
  <si>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t>/</t>
  </si>
  <si>
    <r>
      <t>Q</t>
    </r>
    <r>
      <rPr>
        <sz val="9"/>
        <color theme="1"/>
        <rFont val="Aptos Narrow"/>
        <family val="2"/>
        <scheme val="minor"/>
      </rPr>
      <t>ox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</si>
  <si>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sz val="9"/>
        <color theme="1"/>
        <rFont val="Aptos Narrow"/>
        <family val="2"/>
        <scheme val="minor"/>
      </rPr>
      <t>oix</t>
    </r>
  </si>
  <si>
    <r>
      <t>Q</t>
    </r>
    <r>
      <rPr>
        <sz val="9"/>
        <color theme="1"/>
        <rFont val="Aptos Narrow"/>
        <family val="2"/>
        <scheme val="minor"/>
      </rPr>
      <t>odx</t>
    </r>
  </si>
  <si>
    <t>Quantidade a ser produzida</t>
  </si>
  <si>
    <t>para cobrir custos indiretos</t>
  </si>
  <si>
    <t>para cobrir custos diretos</t>
  </si>
  <si>
    <r>
      <t>F</t>
    </r>
    <r>
      <rPr>
        <sz val="9"/>
        <color theme="1"/>
        <rFont val="Aptos Narrow"/>
        <family val="2"/>
        <scheme val="minor"/>
      </rPr>
      <t>i</t>
    </r>
  </si>
  <si>
    <r>
      <t>RC</t>
    </r>
    <r>
      <rPr>
        <sz val="9"/>
        <color theme="1"/>
        <rFont val="Aptos Narrow"/>
        <family val="2"/>
        <scheme val="minor"/>
      </rPr>
      <t>e</t>
    </r>
  </si>
  <si>
    <t>Receita total equilibrio</t>
  </si>
  <si>
    <t>Custo fixo indireto</t>
  </si>
  <si>
    <t>Razão de Contribuição da Empresa</t>
  </si>
  <si>
    <r>
      <t>R</t>
    </r>
    <r>
      <rPr>
        <sz val="9"/>
        <color theme="1"/>
        <rFont val="Aptos Narrow"/>
        <family val="2"/>
        <scheme val="minor"/>
      </rPr>
      <t>oi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</si>
  <si>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sz val="9"/>
        <color theme="1"/>
        <rFont val="Aptos Narrow"/>
        <family val="2"/>
        <scheme val="minor"/>
      </rPr>
      <t>odx</t>
    </r>
    <r>
      <rPr>
        <sz val="11"/>
        <color theme="1"/>
        <rFont val="Aptos Narrow"/>
        <family val="2"/>
        <scheme val="minor"/>
      </rPr>
      <t xml:space="preserve"> =</t>
    </r>
  </si>
  <si>
    <r>
      <t>F</t>
    </r>
    <r>
      <rPr>
        <sz val="9"/>
        <color theme="1"/>
        <rFont val="Aptos Narrow"/>
        <family val="2"/>
        <scheme val="minor"/>
      </rPr>
      <t>dx</t>
    </r>
  </si>
  <si>
    <r>
      <t>(P</t>
    </r>
    <r>
      <rPr>
        <sz val="9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V</t>
    </r>
    <r>
      <rPr>
        <sz val="9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</t>
    </r>
  </si>
  <si>
    <r>
      <t xml:space="preserve">Participação Relativa                                                   </t>
    </r>
    <r>
      <rPr>
        <sz val="11"/>
        <color theme="1"/>
        <rFont val="Aptos Narrow"/>
        <family val="2"/>
        <scheme val="minor"/>
      </rPr>
      <t xml:space="preserve"> (na receita total estimada)</t>
    </r>
  </si>
  <si>
    <r>
      <t xml:space="preserve">            Preço de venda unitário (P)                                                 </t>
    </r>
    <r>
      <rPr>
        <sz val="11"/>
        <color theme="1"/>
        <rFont val="Aptos Narrow"/>
        <family val="2"/>
        <scheme val="minor"/>
      </rPr>
      <t xml:space="preserve"> ($por unidade)</t>
    </r>
  </si>
  <si>
    <r>
      <t xml:space="preserve">            Custo variável unitário (V)                                                    </t>
    </r>
    <r>
      <rPr>
        <sz val="11"/>
        <color theme="1"/>
        <rFont val="Aptos Narrow"/>
        <family val="2"/>
        <scheme val="minor"/>
      </rPr>
      <t>($por unidade)</t>
    </r>
  </si>
  <si>
    <r>
      <t xml:space="preserve">        Razão de Contribuição                        </t>
    </r>
    <r>
      <rPr>
        <sz val="11"/>
        <color theme="1"/>
        <rFont val="Aptos Narrow"/>
        <family val="2"/>
        <scheme val="minor"/>
      </rPr>
      <t xml:space="preserve">  (RC = MCU/P)</t>
    </r>
  </si>
  <si>
    <r>
      <t xml:space="preserve">        Margem de contribuição unitária                                          </t>
    </r>
    <r>
      <rPr>
        <sz val="11"/>
        <color theme="1"/>
        <rFont val="Aptos Narrow"/>
        <family val="2"/>
        <scheme val="minor"/>
      </rPr>
      <t xml:space="preserve"> ($por unidade)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(MCU = P - V)</t>
    </r>
  </si>
  <si>
    <r>
      <t xml:space="preserve">Demanda Estimada </t>
    </r>
    <r>
      <rPr>
        <sz val="11"/>
        <color theme="1"/>
        <rFont val="Aptos Narrow"/>
        <family val="2"/>
        <scheme val="minor"/>
      </rPr>
      <t xml:space="preserve">(Q)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           </t>
    </r>
    <r>
      <rPr>
        <sz val="11"/>
        <color theme="1"/>
        <rFont val="Aptos Narrow"/>
        <family val="2"/>
        <scheme val="minor"/>
      </rPr>
      <t>(unidades por mês)</t>
    </r>
  </si>
  <si>
    <t>Rce =</t>
  </si>
  <si>
    <r>
      <t>R</t>
    </r>
    <r>
      <rPr>
        <b/>
        <sz val="9"/>
        <color theme="1"/>
        <rFont val="Aptos Narrow"/>
        <family val="2"/>
        <scheme val="minor"/>
      </rPr>
      <t>oi</t>
    </r>
    <r>
      <rPr>
        <b/>
        <sz val="11"/>
        <color theme="1"/>
        <rFont val="Aptos Narrow"/>
        <family val="2"/>
        <scheme val="minor"/>
      </rPr>
      <t xml:space="preserve"> =</t>
    </r>
  </si>
  <si>
    <r>
      <rPr>
        <b/>
        <sz val="11"/>
        <color theme="1"/>
        <rFont val="Aptos Narrow"/>
        <family val="2"/>
        <scheme val="minor"/>
      </rPr>
      <t>R</t>
    </r>
    <r>
      <rPr>
        <b/>
        <sz val="9"/>
        <color theme="1"/>
        <rFont val="Aptos Narrow"/>
        <family val="2"/>
        <scheme val="minor"/>
      </rPr>
      <t>oiA</t>
    </r>
    <r>
      <rPr>
        <b/>
        <sz val="11"/>
        <color theme="1"/>
        <rFont val="Aptos Narrow"/>
        <family val="2"/>
        <scheme val="minor"/>
      </rPr>
      <t xml:space="preserve"> =</t>
    </r>
  </si>
  <si>
    <r>
      <t>R</t>
    </r>
    <r>
      <rPr>
        <b/>
        <sz val="9"/>
        <color theme="1"/>
        <rFont val="Aptos Narrow"/>
        <family val="2"/>
        <scheme val="minor"/>
      </rPr>
      <t>oiB</t>
    </r>
    <r>
      <rPr>
        <b/>
        <sz val="11"/>
        <color theme="1"/>
        <rFont val="Aptos Narrow"/>
        <family val="2"/>
        <scheme val="minor"/>
      </rPr>
      <t xml:space="preserve"> =</t>
    </r>
  </si>
  <si>
    <r>
      <t>Q</t>
    </r>
    <r>
      <rPr>
        <b/>
        <sz val="9"/>
        <color theme="1"/>
        <rFont val="Aptos Narrow"/>
        <family val="2"/>
        <scheme val="minor"/>
      </rPr>
      <t xml:space="preserve">oiA </t>
    </r>
    <r>
      <rPr>
        <b/>
        <sz val="11"/>
        <color theme="1"/>
        <rFont val="Aptos Narrow"/>
        <family val="2"/>
        <scheme val="minor"/>
      </rPr>
      <t>=</t>
    </r>
  </si>
  <si>
    <r>
      <t>Q</t>
    </r>
    <r>
      <rPr>
        <b/>
        <sz val="9"/>
        <color theme="1"/>
        <rFont val="Aptos Narrow"/>
        <family val="2"/>
        <scheme val="minor"/>
      </rPr>
      <t xml:space="preserve">oiB </t>
    </r>
    <r>
      <rPr>
        <b/>
        <sz val="11"/>
        <color theme="1"/>
        <rFont val="Aptos Narrow"/>
        <family val="2"/>
        <scheme val="minor"/>
      </rPr>
      <t>=</t>
    </r>
  </si>
  <si>
    <r>
      <rPr>
        <b/>
        <sz val="11"/>
        <color theme="1"/>
        <rFont val="Aptos Narrow"/>
        <family val="2"/>
        <scheme val="minor"/>
      </rPr>
      <t>Q</t>
    </r>
    <r>
      <rPr>
        <b/>
        <sz val="9"/>
        <color theme="1"/>
        <rFont val="Aptos Narrow"/>
        <family val="2"/>
        <scheme val="minor"/>
      </rPr>
      <t>odA =</t>
    </r>
  </si>
  <si>
    <r>
      <t xml:space="preserve">Receita total estimada </t>
    </r>
    <r>
      <rPr>
        <sz val="11"/>
        <color theme="1"/>
        <rFont val="Aptos Narrow"/>
        <family val="2"/>
        <scheme val="minor"/>
      </rPr>
      <t>(R = Q x P)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</t>
    </r>
    <r>
      <rPr>
        <sz val="11"/>
        <color theme="1"/>
        <rFont val="Aptos Narrow"/>
        <family val="2"/>
        <scheme val="minor"/>
      </rPr>
      <t>($por mês)</t>
    </r>
  </si>
  <si>
    <t>$ por mês</t>
  </si>
  <si>
    <t>unidades por mês</t>
  </si>
  <si>
    <t>Consumo Recursos Fabricação</t>
  </si>
  <si>
    <t>Proporção do Consumo Fabricação</t>
  </si>
  <si>
    <t>Consumo Recursos Montagem</t>
  </si>
  <si>
    <t>Proporção do Consumo Montagem</t>
  </si>
  <si>
    <t>(unidades  por mês)</t>
  </si>
  <si>
    <t>(% sobre o total)</t>
  </si>
  <si>
    <t>Total</t>
  </si>
  <si>
    <t>Custo Fixo Direto Fabricação</t>
  </si>
  <si>
    <t>Custo Fixo Direto Montagem</t>
  </si>
  <si>
    <t>Custo Fixo Direto por Produto</t>
  </si>
  <si>
    <t>Tabela de Consumo de Recursos e Alocação dos Custos Fixos Diretos de Produção dos Produtos</t>
  </si>
  <si>
    <r>
      <t>Q</t>
    </r>
    <r>
      <rPr>
        <b/>
        <sz val="9"/>
        <color theme="1"/>
        <rFont val="Aptos Narrow"/>
        <family val="2"/>
        <scheme val="minor"/>
      </rPr>
      <t>odB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</si>
</sst>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4" formatCode="0.000"/>
    <numFmt numFmtId="176" formatCode="#,##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horizontal="center" vertical="center"/>
    </xf>
    <xf numFmtId="4" fontId="0" fillId="0" borderId="1" xfId="1" applyNumberFormat="1" applyFont="1" applyBorder="1" applyAlignment="1">
      <alignment horizontal="center" vertical="center"/>
    </xf>
    <xf numFmtId="4" fontId="0" fillId="0" borderId="6" xfId="1" applyNumberFormat="1" applyFont="1" applyBorder="1" applyAlignment="1">
      <alignment horizontal="center" vertical="center"/>
    </xf>
    <xf numFmtId="4" fontId="0" fillId="0" borderId="6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0" xfId="0" applyNumberFormat="1"/>
    <xf numFmtId="0" fontId="0" fillId="0" borderId="0" xfId="0" applyBorder="1" applyAlignment="1">
      <alignment horizontal="center" vertical="center"/>
    </xf>
    <xf numFmtId="4" fontId="1" fillId="0" borderId="0" xfId="0" applyNumberFormat="1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Font="1"/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174" fontId="0" fillId="0" borderId="6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174" fontId="1" fillId="0" borderId="1" xfId="0" applyNumberFormat="1" applyFont="1" applyBorder="1" applyAlignment="1">
      <alignment horizontal="center" vertical="center"/>
    </xf>
    <xf numFmtId="9" fontId="1" fillId="0" borderId="6" xfId="2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E8733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11</xdr:row>
      <xdr:rowOff>119062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660ACC-07BF-41A0-8746-9EF894156B5F}"/>
            </a:ext>
          </a:extLst>
        </xdr:cNvPr>
        <xdr:cNvSpPr txBox="1"/>
      </xdr:nvSpPr>
      <xdr:spPr>
        <a:xfrm>
          <a:off x="8582025" y="58340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1372D7-AB95-484B-95BE-AACF8D95D0FC}">
  <we:reference id="wa104100404" version="3.0.0.1" store="en-US" storeType="omex"/>
  <we:alternateReferences>
    <we:reference id="wa104100404" version="3.0.0.1" store="en-US" storeType="omex"/>
  </we:alternateReferences>
  <we:properties>
    <we:property name="Bh4aFyoaBT9XEg==" value="&quot;RA==&quot;"/>
    <we:property name="Bh4aFyoaBTRcEg==" value="&quot;MiMx&quot;"/>
    <we:property name="JQMZBToLLnF/HDJCVnkMFAMfAC0EPyI=" value="&quot;UTVSWHVMHHUL&quot;"/>
    <we:property name="JQMZBToLLnF/HDJCVnkVFxs=" value="&quot;UTVSUHc=&quot;"/>
    <we:property name="JQMZBToLLnF/HDJCVnkXFAk7CCE=" value="&quot;RA==&quot;"/>
    <we:property name="JQMZBToLLnF/HDJCVnkpGh0ABD03KDReRA==" value="&quot;VU1LQQ==&quot;"/>
    <we:property name="JQMZBToLLnF/HDJCVnkpGh0ABD03KDReRw==" value="&quot;VU9LQQ==&quot;"/>
    <we:property name="JQMZBToLLnF/HDJCVnkpGh0ABD03KDlBRA==" value="&quot;UTNSUH5SfhMWRH8=&quot;"/>
    <we:property name="JQMZBToLLnF/HDJCVnkpGh0ABD03KDlBRw==" value="&quot;RQ==&quot;"/>
    <we:property name="JQMZBToLLnF/HDJCVnkpGh0ABD03NCRf" value="&quot;Rw==&quot;"/>
    <we:property name="JQMZBToLLnF/HDJCVnkpGh0ABD03NDRV" value="&quot;RA==&quot;"/>
    <we:property name="JQMZBToLLnF/HDJCVnkpGh0ABD03NjlBRA==" value="&quot;UTJSUH5SfhIWRH8=&quot;"/>
    <we:property name="JQMZBToLLnF/HDJCVnkpGh0ABD03NjlBRw==" value="&quot;UTVSWHVMHHUL&quot;"/>
    <we:property name="JQMZBToLLnF/HDJCVnkpGh0ABD03Pz9V" value="&quot;RQ==&quot;"/>
    <we:property name="JQMZBToLLnF/HDJDFDc2AxQEPi4LOQ==" value="&quot;RV9GUX4=&quot;"/>
    <we:property name="JQMZBToLLnF/HDJDFDc2AxQEPi4aKQ==" value="&quot;RA==&quot;"/>
    <we:property name="JQMZBToLLnF/HDJDFDc2AxQEPiENPQ==" value="&quot;RA==&quot;"/>
    <we:property name="JQMZBToLLnF/HDJDFDc2AxQEPiEdNw==" value="&quot;Rw==&quot;"/>
    <we:property name="JQMZBToLLnF/HDJDFDc2AxQEPiIGMw==" value="&quot;RkE=&quot;"/>
    <we:property name="JQMZBToLLnF/HDJDFDc2AxQEPiINLg==" value="&quot;RA==&quot;"/>
    <we:property name="JQMZBToLLnF/HDJDFDc2AxQEPiIaLg==" value="&quot;RV9GVno=&quot;"/>
    <we:property name="JQMZBToLLnF/HDJDFDc2AxQEPiIbNg==" value="&quot;RQ==&quot;"/>
    <we:property name="JQMZBToLLnF/HDJDFDc2AxQEPiMAKWA=" value="&quot;UTJSUH5SfhIWRH8=&quot;"/>
    <we:property name="JQMZBToLLnF/HDJDFDc2AxQEPiMAKWM=" value="&quot;UTVSWHVMHHUL&quot;"/>
    <we:property name="JQMZBToLLnF/HDJDFDc2AxQEPiMYKg==" value="&quot;RQ==&quot;"/>
    <we:property name="JQMZBToLLnF/HDJDFDc2AxQEPiMYLg==" value="&quot;RQ==&quot;"/>
    <we:property name="JQMZBToLLnF/HDJDFDc2AxQEPiYYKQ==" value="&quot;RV9PWA==&quot;"/>
    <we:property name="JQMZBToLLnF/HDJDFDc2AxQEPiYYMw==" value="&quot;RA==&quot;"/>
    <we:property name="JQMZBToLLnF/HDJDFDc2AxQEPiYYPg==" value="&quot;Rg==&quot;"/>
    <we:property name="JQMZBToLLnF/HDJDFDc2AxQEPigJKg==" value="&quot;RV9GUX9YamA=&quot;"/>
    <we:property name="JQMZBToLLnF/HDJDFDc2AxQEPikNOw==" value="&quot;RV9GUX9YamA=&quot;"/>
    <we:property name="JQMZBToLLnF/HDJDFDc2AxQEPioGPQ==" value="&quot;OSE=&quot;"/>
    <we:property name="JQMZBToLLnF/HDJDFDc2AxQEPiwePQ==" value="&quot;RV9GUX9Z&quot;"/>
    <we:property name="JQMZBToLLnF/HDJDFDc2AxQEPj0AKWA=" value="&quot;UTNSUH5SfhMWRH8=&quot;"/>
    <we:property name="JQMZBToLLnF/HDJDFDc2AxQEPj0AKWM=" value="&quot;RQ==&quot;"/>
    <we:property name="JQMZBToLLnF/HDJDFDc2AxQEPj0EIg==" value="&quot;RQ==&quot;"/>
    <we:property name="JQMZBToLLnF/HDJDFDc2AxQEPj0KLA==" value="&quot;RA==&quot;"/>
    <we:property name="JQMZBToLLnF/HDJDFDc2AxQEPj0NKQ==" value="&quot;QA==&quot;"/>
    <we:property name="JQMZBToLLnF/HDJDFDc2AxQEPj0NNmA=" value="&quot;VU1LQQ==&quot;"/>
    <we:property name="JQMZBToLLnF/HDJDFDc2AxQEPj0NNmM=" value="&quot;VU9LQQ==&quot;"/>
    <we:property name="JQMZBToLLnF/HDJDFDc2AxQEPj0bPg==" value="&quot;RQ==&quot;"/>
    <we:property name="JQMZBToLLnF/HDJDFDc2AxQEPj8aPw==" value="&quot;RV9GUX9YamA=&quot;"/>
    <we:property name="JQMZBToLLnF/HDJDFDc2AxQEPjkJNg==" value="&quot;RQ==&quot;"/>
    <we:property name="JQMZBToLLnF/HDJDFDc2AxQEPjsHNg==" value="&quot;RV9GUA==&quot;"/>
    <we:property name="JQMZBToLLnF/HDJDFDc2AxQEPjwHOQ==" value="&quot;RQ==&quot;"/>
    <we:property name="JQMZBToLLnF/HDJDFDc2AxQEPjwLNg==" value="&quot;RA==&quot;"/>
    <we:property name="JQMZBToLLnF/HDJDFDc2AxQEPjwbIA==" value="&quot;REFG&quot;"/>
    <we:property name="JQMZBToLLnF/HDJDFDc2AxQEPjwcOw==" value="&quot;RQ==&quot;"/>
    <we:property name="JQMZBToLLnF/HDJDKDow" value="&quot;UTVSUHc=&quot;"/>
    <we:property name="JQMZBToLLnF/HDJDKjkiOBgY" value="&quot;RA==&quot;"/>
    <we:property name="JQMZBToLLnF/HDJDMTkoHBAUDSob" value="&quot;UTVSWHVMHHUL&quot;"/>
    <we:property name="JhgCFC6PuT4SPGpPRws/GFEkBDwcKDjVgC8RRg47BxgXAyMNKQ==" value="&quot;UTJSUH5SfhQWRHs=&quot;"/>
    <we:property name="JhgCFC6PuT4SPGpPRws/GFEkBDwcKDjVgC8RRg47BxgXAyMNKWA=" value="&quot;&quot;"/>
    <we:property name="JhgCFC6PuT4SPGpPRws/GFEkBDwcKDjVgC8RRg47BxgXAyMNKWE=" value="&quot;&quot;"/>
    <we:property name="JhgCFC6PuT4SPGpPRws/GFEkBDwcKDjVgC8RRg47BxgXAyMNKWI=" value="&quot;&quot;"/>
    <we:property name="JhgCFC6PuT4SPGpPRws/GFEkBDwcKDjVgC8RRg47BxgXAyMNKWM=" value="&quot;&quot;"/>
    <we:property name="JhgCFC6PuT4SPGpPRws/GFEkBDwcKDjVgC8RRg47BxgXAyMNKWQ=" value="&quot;&quot;"/>
    <we:property name="JhgCFC6PuT4SPGpPRws/GFEkBDwcKDjVgC8RRg47BxgXAyMNKWU=" value="&quot;&quot;"/>
    <we:property name="JhgCFC6PuT4SPGpPRws/GFEkBDwcKDjVgC8RRhU7DTwfDw==" value="&quot;RA==&quot;"/>
    <we:property name="JhgCFC6PuT4SPGpPRws/GFEkBDwcKDjVgC8RRhc4Hw==" value="&quot;UTZSWA==&quot;"/>
    <we:property name="JhgCFC6PuT4SPGpPRws/GFEkBDwcKDjVgC8RRis1GQcTExABKiI=" value="&quot;RV9PWA==&quot;"/>
    <we:property name="JhgCFC6PuT4SPGpPRws/GFEkBDwcKDjVgC8RRis1GQcTExABKjU=" value="&quot;Rg==&quot;"/>
    <we:property name="JhgCFC6PuT4SPGpPRws/GFEkBDwcKDjVgC8RRis1GQcTExABKjg=" value="&quot;RA==&quot;"/>
    <we:property name="JhgCFC6PuT4SPGpPRws/GFEkBDwcKDjVgC8RRis1GQcTExAEKiE=" value="&quot;RQ==&quot;"/>
    <we:property name="JhgCFC6PuT4SPGpPRws/GFEkBDwcKDjVgC8RRis1GQcTExAEKiU=" value="&quot;RQ==&quot;"/>
    <we:property name="JhgCFC6PuT4SPGpPRws/GFEkBDwcKDjVgC8RRis1GQcTExAFKCU=" value="&quot;RV9GVno=&quot;"/>
    <we:property name="JhgCFC6PuT4SPGpPRws/GFEkBDwcKDjVgC8RRis1GQcTExAFKT0=" value="&quot;RQ==&quot;"/>
    <we:property name="JhgCFC6PuT4SPGpPRws/GFEkBDwcKDjVgC8RRis1GQcTExAFNDg=" value="&quot;RkE=&quot;"/>
    <we:property name="JhgCFC6PuT4SPGpPRws/GFEkBDwcKDjVgC8RRis1GQcTExAFPyU=" value="&quot;RA==&quot;"/>
    <we:property name="JhgCFC6PuT4SPGpPRws/GFEkBDwcKDjVgC8RRis1GQcTExAGLzw=" value="&quot;RA==&quot;"/>
    <we:property name="JhgCFC6PuT4SPGpPRws/GFEkBDwcKDjVgC8RRis1GQcTExAGPzY=" value="&quot;RA==&quot;"/>
    <we:property name="JhgCFC6PuT4SPGpPRws/GFEkBDwcKDjVgC8RRis1GQcTExAJKCI=" value="&quot;RA==&quot;"/>
    <we:property name="JhgCFC6PuT4SPGpPRws/GFEkBDwcKDjVgC8RRis1GQcTExAJOTI=" value="&quot;RV9GUX4=&quot;"/>
    <we:property name="JhgCFC6PuT4SPGpPRws/GFEkBDwcKDjVgC8RRis1GQcTExALLDY=" value="&quot;RV9GUX9Z&quot;"/>
    <we:property name="JhgCFC6PuT4SPGpPRws/GFEkBDwcKDjVgC8RRis1GQcTExANNDY=" value="&quot;OSE=&quot;"/>
    <we:property name="JhgCFC6PuT4SPGpPRws/GFEkBDwcKDjVgC8RRis1GQcTExAOPzA=" value="&quot;RV9GUX9YamA=&quot;"/>
    <we:property name="JhgCFC6PuT4SPGpPRws/GFEkBDwcKDjVgC8RRis1GQcTExAPOyE=" value="&quot;RV9GUX9YamA=&quot;"/>
    <we:property name="JhgCFC6PuT4SPGpPRws/GFEkBDwcKDjVgC8RRis1GQcTExAYKDQ=" value="&quot;RV9GUX9YamA=&quot;"/>
    <we:property name="JhgCFC6PuT4SPGpPRws/GFEkBDwcKDjVgC8RRis1GQcTExAaKTU=" value="&quot;RQ==&quot;"/>
    <we:property name="JhgCFC6PuT4SPGpPRws/GFEkBDwcKDjVgC8RRis1GQcTExAaNik=" value="&quot;RQ==&quot;"/>
    <we:property name="JhgCFC6PuT4SPGpPRws/GFEkBDwcKDjVgC8RRis1GQcTExAaOCc=" value="&quot;RA==&quot;"/>
    <we:property name="JhgCFC6PuT4SPGpPRws/GFEkBDwcKDjVgC8RRis1GQcTExAaPyI=" value="&quot;QA==&quot;"/>
    <we:property name="JhgCFC6PuT4SPGpPRws/GFEkBDwcKDjVgC8RRis1GQcTExAbKSs=" value="&quot;REFG&quot;"/>
    <we:property name="JhgCFC6PuT4SPGpPRws/GFEkBDwcKDjVgC8RRis1GQcTExAbLjA=" value="&quot;RQ==&quot;"/>
    <we:property name="JhgCFC6PuT4SPGpPRws/GFEkBDwcKDjVgC8RRis1GQcTExAbNTI=" value="&quot;RQ==&quot;"/>
    <we:property name="JhgCFC6PuT4SPGpPRws/GFEkBDwcKDjVgC8RRis1GQcTExAbOT0=" value="&quot;RA==&quot;"/>
    <we:property name="JhgCFC6PuT4SPGpPRws/GFEkBDwcKDjVgC8RRis1GQcTExAcNT0=" value="&quot;RV9GUA==&quot;"/>
    <we:property name="JhgCFC6PuT4SPGpPRws/GFEkBDwcKDjVgC8RRis1GQcTExAeOz0=" value="&quot;RQ==&quot;"/>
    <we:property name="OhMc" value="&quot;&quot;"/>
    <we:property name="UniqueID" value="&quot;2024311711983425048&quot;"/>
    <we:property name="JhgCFC6PuT4SPGpPRws/GFEkBDwcKDjVgC8RRis1GQcTExAEMiID" value="&quot;UTdSV3VMHHUF&quot;"/>
    <we:property name="JhgCFC6PuT4SPGpPRws/GFEkBDwcKDjVgC8RRis1GQcTExAaPz0D" value="&quot;VU1LQQ==&quot;"/>
    <we:property name="JhgCFC6PuT4SPGpPRws/GFEkBDwcKDjVgC8RRis1GQcTExAaMiID" value="&quot;UTZSV3VMHXUF&quot;"/>
    <we:property name="JhgCFC6PuT4SPGpPRws/GFEkBDwcKDjVgC8RRis1GQcTExAEMiIA" value="&quot;&quot;"/>
    <we:property name="JhgCFC6PuT4SPGpPRws/GFEkBDwcKDjVgC8RRis1GQcTExAaPz0A" value="&quot;VU1LQQ==&quot;"/>
    <we:property name="JhgCFC6PuT4SPGpPRws/GFEkBDwcKDjVgC8RRis1GQcTExAaMiIA" value="&quot;&quot;"/>
    <we:property name="JhgCFC6PuT4SPGpPRws/GFEkBDwcKDjVgC8RRis1GQcTExAEMiIB" value="&quot;&quot;"/>
    <we:property name="JhgCFC6PuT4SPGpPRws/GFEkBDwcKDjVgC8RRis1GQcTExAaPz0B" value="&quot;VU1LQQ==&quot;"/>
    <we:property name="JhgCFC6PuT4SPGpPRws/GFEkBDwcKDjVgC8RRis1GQcTExAaMiIB" value="&quot;&quot;"/>
    <we:property name="JhgCFC6PuT4SPANCSngKVU1LQR5IPjhEVXlDFDc2AxQEPioGPQ==" value="&quot;OSE=&quot;"/>
    <we:property name="JhgCFC6PuT4SPANCSngKVU1LQR5IPjhEVXlDKjkiOBgY" value="&quot;RA==&quot;"/>
    <we:property name="JhgCFC6PuT4SPANCSngKVU1LQR5IPjhEVXlDKDow" value="&quot;UTZSWA==&quot;"/>
    <we:property name="JhgCFC6PuT4SPANCSngKVU1LQR5IPjhEVXlDMTkoHBAUDSob" value="&quot;UTJSUH5SfhQWRHs=&quot;"/>
    <we:property name="JhgCFC6PuT4SPANCSngKVU1LQR5IPjhEVXlDMTkoHBAUDSobaw==" value="&quot;&quot;"/>
    <we:property name="JhgCFC6PuT4SPANCSngKVU1LQR5IPjhEVXlDFDc2AxQEPiEdNw==" value="&quot;Rg==&quot;"/>
    <we:property name="JhgCFC6PuT4SPANCSngKVU1LQR5IPjhEVXlDFDc2AxQEPiMAKWA=" value="&quot;UTJSUH4=&quot;"/>
    <we:property name="JhgCFC6PuT4SPANCSngKVU1LQR5IPjhEVXlDFDc2AxQEPj0NNmA=" value="&quot;VU1LQQ==&quot;"/>
    <we:property name="JhgCFC6PuT4SPANCSngKVU1LQR5IPjhEVXlDFDc2AxQEPj0AKWA=" value="&quot;UTVSU34=&quot;"/>
    <we:property name="JhgCFC6PuT4SPANCSngKVU1LQR5IPjhEVXlDFDc2AxQEPiMAKWM=" value="&quot;UTJSUH5SfhQWRHs=&quot;"/>
    <we:property name="JhgCFC6PuT4SPANCSngKVU1LQR5IPjhEVXlDFDc2AxQEPj0NNmM=" value="&quot;VU9LQQ==&quot;"/>
    <we:property name="JhgCFC6PuT4SPANCSngKVU1LQR5IPjhEVXlDFDc2AxQEPj0AKWM=" value="&quot;RQ==&quot;"/>
    <we:property name="JhgCFC6PuT4SPANCSngKVU1LQR5IPjhEVXlDFDc2AxQEPiMAKWI=" value="&quot;UTdSV3VMHHUF&quot;"/>
    <we:property name="JhgCFC6PuT4SPANCSngKVU1LQR5IPjhEVXlDFDc2AxQEPj0NNmI=" value="&quot;VU1LQQ==&quot;"/>
    <we:property name="JhgCFC6PuT4SPANCSngKVU1LQR5IPjhEVXlDFDc2AxQEPj0AKWI=" value="&quot;UTZSV3VMHXUF&quot;"/>
    <we:property name="JhgCFC6PuT4SPANCSngKVU1LQR5IPjhEVXlDFDc2AxQEPiMAKWU=" value="&quot;&quot;"/>
    <we:property name="JhgCFC6PuT4SPANCSngKVU1LQR5IPjhEVXlDFDc2AxQEPj0NNmU=" value="&quot;VU1LQQ==&quot;"/>
    <we:property name="JhgCFC6PuT4SPANCSngKVU1LQR5IPjhEVXlDFDc2AxQEPj0AKWU=" value="&quot;&quot;"/>
    <we:property name="JhgCFC6PuT4SPAMrR3V6JVFKXG8FPzVbFGIzS3gIXFA5AyU=" value="&quot;UTZSWA==&quot;"/>
    <we:property name="JhgCFC6PuT4SPAMrR3V6JVFKXG8FPzVbFGIzS3gIXFA7ADclMz8=" value="&quot;RA==&quot;"/>
    <we:property name="JhgCFC6PuT4SPAMrR3V6JVFKXG8FPzVbFGIzS3gIXFAgAD0BOzNeEDk=" value="&quot;UTJSUH5SfhQWRHs=&quot;"/>
    <we:property name="JhgCFC6PuT4SPAMrR3V6JVFKXG8FPzVbFGIzS3gIXFAgAD0BOzNeEDlT" value="&quot;&quot;"/>
    <we:property name="JhgCFC6PuT4SPAMrR3V6JVFKXG8FPzVbFGIzS3gIXFAgAD0BOzNeEDlQ" value="&quot;&quot;"/>
    <we:property name="JhgCFC6PuT4SPANCSngKVU1LQR5IPjhEVXlDFDc2AxQEPiMAKWQ=" value="&quot;&quot;"/>
    <we:property name="JhgCFC6PuT4SPANCSngKVU1LQR5IPjhEVXlDFDc2AxQEPj0NNmQ=" value="&quot;VU1LQQ==&quot;"/>
    <we:property name="JhgCFC6PuT4SPANCSngKVU1LQR5IPjhEVXlDFDc2AxQEPj0AKWQ=" value="&quot;&quot;"/>
    <we:property name="JhgCFC6PuT4SPANCSngKVU1LQR5IPjhEVXlDFDc2AxQEPiMAKWc=" value="&quot;&quot;"/>
    <we:property name="JhgCFC6PuT4SPANCSngKVU1LQR5IPjhEVXlDFDc2AxQEPj0NNmc=" value="&quot;VU1LQQ==&quot;"/>
    <we:property name="JhgCFC6PuT4SPANCSngKVU1LQR5IPjhEVXlDFDc2AxQEPj0AKWc=" value="&quot;&quot;"/>
    <we:property name="JhgCFC6PuT4SPAMrR3V6JVFKXG8FPzVbFGIzS3gIXFAFDiMePyNtECQF" value="&quot;OSE=&quot;"/>
    <we:property name="JhgCFC6PuT4SPAMrR3V6JVFKXG8FPzVbFGIzS3gIXFAFDiMePyNtGz8P" value="&quot;Rg==&quot;"/>
    <we:property name="JhgCFC6PuT4SPAMrR3V6JVFKXG8FPzVbFGIzS3gIXFAFDiMePyNtGSIRVg==" value="&quot;UTJSUH4=&quot;"/>
    <we:property name="JhgCFC6PuT4SPAMrR3V6JVFKXG8FPzVbFGIzS3gIXFAFDiMePyNtBy8OVg==" value="&quot;VU1LQQ==&quot;"/>
    <we:property name="JhgCFC6PuT4SPAMrR3V6JVFKXG8FPzVbFGIzS3gIXFAFDiMePyNtByIRVg==" value="&quot;UTVSU34=&quot;"/>
    <we:property name="JhgCFC6PuT4SPAMrR3V6JVFKXG8FPzVbFGIzS3gIXFAFDiMePyNtGSIRVQ==" value="&quot;UTdSV3VMHHUF&quot;"/>
    <we:property name="JhgCFC6PuT4SPAMrR3V6JVFKXG8FPzVbFGIzS3gIXFAFDiMePyNtBy8OVQ==" value="&quot;VU1LQQ==&quot;"/>
    <we:property name="JhgCFC6PuT4SPAMrR3V6JVFKXG8FPzVbFGIzS3gIXFAFDiMePyNtByIRVQ==" value="&quot;UTZSV3VMHXUF&quot;"/>
    <we:property name="JhgCFC6PuT4SPAMrR3V6JVFKXG8FPzVbFGIzS3gIXFAFDiMePyNtGSIRVA==" value="&quot;UTJSUH5SfhQWRHs=&quot;"/>
    <we:property name="JhgCFC6PuT4SPAMrR3V6JVFKXG8FPzVbFGIzS3gIXFAFDiMePyNtBy8OVA==" value="&quot;VU9LQQ==&quot;"/>
    <we:property name="JhgCFC6PuT4SPAMrR3V6JVFKXG8FPzVbFGIzS3gIXFAFDiMePyNtByIRVA==" value="&quot;RQ==&quot;"/>
    <we:property name="JhgCFC6PuT4SPAMrR3V6JVFKXG8FPzVbFGIzS3gIXFAFDiMePyNtGSIRUw==" value="&quot;&quot;"/>
    <we:property name="JhgCFC6PuT4SPAMrR3V6JVFKXG8FPzVbFGIzS3gIXFAFDiMePyNtBy8OUw==" value="&quot;VU1LQQ==&quot;"/>
    <we:property name="JhgCFC6PuT4SPAMrR3V6JVFKXG8FPzVbFGIzS3gIXFAFDiMePyNtByIRUw==" value="&quot;&quot;"/>
    <we:property name="JhgCFC6PuT4SPAMrR3V6JVFKXG8FPzVbFGIzS3gIXFAFDiMePyNtAysO" value="&quot;RQ==&quot;"/>
    <we:property name="JhgCFC6PuT4SPAMrR3V6JVFKXG8FPzVbFGIzS3gIXFAFDiMePyNtBTgH" value="&quot;RV9GUX9YamA=&quot;"/>
    <we:property name="JhgCFC6PuT4SPAMrR3V6JVFKXG8FPzVbFGIzS3gIXFAFDiMePyNtBikO" value="&quot;RA==&quot;"/>
    <we:property name="JhgCFC6PuT4SPAMrR3V6JVFKXG8FPzVbFGIzS3gIXFAFDiMePyNtByYa" value="&quot;RQ==&quot;"/>
    <we:property name="JhgCFC6PuT4SPAMrR3V6JVFKXG8FPzVbFGIzS3gIXFAFDiMePyNtASUO" value="&quot;RV9GUA==&quot;"/>
    <we:property name="JhgCFC6PuT4SPAMrR3V6JVFKXG8FPzVbFGIzS3gIXFAFDiMePyNtFjwF" value="&quot;RV9GUX9Z&quot;"/>
    <we:property name="JhgCFC6PuT4SPAMrR3V6JVFKXG8FPzVbFGIzS3gIXFAFDiMePyNtGDkO" value="&quot;RQ==&quot;"/>
    <we:property name="JhgCFC6PuT4SPAMrR3V6JVFKXG8FPzVbFGIzS3gIXFAFDiMePyNtBjkY" value="&quot;REFG&quot;"/>
    <we:property name="JhgCFC6PuT4SPAMrR3V6JVFKXG8FPzVbFGIzS3gIXFAFDiMePyNtBzkG" value="&quot;RQ==&quot;"/>
    <we:property name="JhgCFC6PuT4SPAMrR3V6JVFKXG8FPzVbFGIzS3gIXFAFDiMePyNtGDgW" value="&quot;RV9GVno=&quot;"/>
    <we:property name="JhgCFC6PuT4SPAMrR3V6JVFKXG8FPzVbFGIzS3gIXFAFDiMePyNtGCQL" value="&quot;RkE=&quot;"/>
    <we:property name="JhgCFC6PuT4SPAMrR3V6JVFKXG8FPzVbFGIzS3gIXFAFDiMePyNtBygU" value="&quot;RA==&quot;"/>
    <we:property name="JhgCFC6PuT4SPAMrR3V6JVFKXG8FPzVbFGIzS3gIXFAFDiMePyNtGy8F" value="&quot;RA==&quot;"/>
    <we:property name="JhgCFC6PuT4SPAMrR3V6JVFKXG8FPzVbFGIzS3gIXFAFDiMePyNtFCkB" value="&quot;RV9GUX4=&quot;"/>
    <we:property name="JhgCFC6PuT4SPAMrR3V6JVFKXG8FPzVbFGIzS3gIXFAFDiMePyNtBy8R" value="&quot;QA==&quot;"/>
    <we:property name="JhgCFC6PuT4SPAMrR3V6JVFKXG8FPzVbFGIzS3gIXFAFDiMePyNtFDgR" value="&quot;RA==&quot;"/>
    <we:property name="JhgCFC6PuT4SPAMrR3V6JVFKXG8FPzVbFGIzS3gIXFAFDiMePyNtBj4D" value="&quot;RQ==&quot;"/>
    <we:property name="JhgCFC6PuT4SPAMrR3V6JVFKXG8FPzVbFGIzS3gIXFAFDiMePyNtGC8W" value="&quot;RA==&quot;"/>
    <we:property name="JhgCFC6PuT4SPAMrR3V6JVFKXG8FPzVbFGIzS3gIXFAFDiMePyNtBiUB" value="&quot;RQ==&quot;"/>
    <we:property name="JhgCFC6PuT4SPAMrR3V6JVFKXG8FPzVbFGIzS3gIXFAFDiMePyNtGToW" value="&quot;RQ==&quot;"/>
    <we:property name="JhgCFC6PuT4SPAMrR3V6JVFKXG8FPzVbFGIzS3gIXFAFDiMePyNtGToS" value="&quot;RQ==&quot;"/>
    <we:property name="JhgCFC6PuT4SPAMrR3V6JVFKXG8FPzVbFGIzS3gIXFAFDiMePyNtEisS" value="&quot;RV9GUX9YamA=&quot;"/>
    <we:property name="JhgCFC6PuT4SPAMrR3V6JVFKXG8FPzVbFGIzS3gIXFAFDiMePyNtHDoR" value="&quot;RV9PWA==&quot;"/>
    <we:property name="JhgCFC6PuT4SPAMrR3V6JVFKXG8FPzVbFGIzS3gIXFAFDiMePyNtEy8D" value="&quot;RV9GUX9YamA=&quot;"/>
    <we:property name="JhgCFC6PuT4SPAMrR3V6JVFKXG8FPzVbFGIzS3gIXFAFDiMePyNtHDoL" value="&quot;RA==&quot;"/>
    <we:property name="JhgCFC6PuT4SPAMrR3V6JVFKXG8FPzVbFGIzS3gIXFAFDiMePyNtHDoG" value="&quot;Rg==&quot;"/>
    <we:property name="JhgCFC6PuT4SPAMrR3V6JVFKXG8FPzVbFGIzS3gIXFAFDiMePyNtGSIRUg==" value="&quot;&quot;"/>
    <we:property name="JhgCFC6PuT4SPAMrR3V6JVFKXG8FPzVbFGIzS3gIXFAFDiMePyNtBy8OUg==" value="&quot;VU1LQQ==&quot;"/>
    <we:property name="JhgCFC6PuT4SPAMrR3V6JVFKXG8FPzVbFGIzS3gIXFAFDiMePyNtByIRUg==" value="&quot;&quot;"/>
    <we:property name="JhgCFC6PuT4SPAMrR3V6JVFKXG8FPzVbFGIzS3gIXFAFDiMePyNtGSIRUQ==" value="&quot;&quot;"/>
    <we:property name="JhgCFC6PuT4SPAMrR3V6JVFKXG8FPzVbFGIzS3gIXFAFDiMePyNtBy8OUQ==" value="&quot;VU1LQQ==&quot;"/>
    <we:property name="JhgCFC6PuT4SPAMrR3V6JVFKXG8FPzVbFGIzS3gIXFAFDiMePyNtByIRUQ==" value="&quot;&quot;"/>
    <we:property name="JhgCFC6PuT4SPAMrR3V6JVFKXG8FPzVbFGIzS3gIXFAFDiMePyNtGSIRUA==" value="&quot;&quot;"/>
    <we:property name="JhgCFC6PuT4SPAMrR3V6JVFKXG8FPzVbFGIzS3gIXFAFDiMePyNtBy8OUA==" value="&quot;VU1LQQ==&quot;"/>
    <we:property name="JhgCFC6PuT4SPAMrR3V6JVFKXG8FPzVbFGIzS3gIXFAFDiMePyNtByIRUA==" value="&quot;&quot;"/>
    <we:property name="JhgCFC6PuT4SPAMrR3V6JVFKXG8FPzVbFGIzS3gIXFAgAD0BOzNeEDlR" value="&quot;&quot;"/>
    <we:property name="JhgCFC6PuT4SPANCSngKVU1LQR5IPjhEVXlCT2pzVAIZDTkNKA5XGy0=" value="&quot;MiMx&quot;"/>
    <we:property name="JhgCFC6PuT4SPANCSngKVU1LQR5IPjhEVXlCT2pzVDwXGQIBNA==" value="&quot;RA==&quot;"/>
    <we:property name="JhgCFC6PuT4SPANCSngKVU1LQR5IPjhEVXlCT2pzVD4UCw==" value="&quot;&quot;"/>
    <we:property name="JhgCFC6PuT4SPANCSngKVU1LQR5IPjhEVXlCT2pzVAIZDTkNKA5cEC0=" value="&quot;RA==&quot;"/>
    <we:property name="JhgCFC6PuT4SPANCSngKVU1LQR5IPjhEVXlCT2pzVAIZDTkNKA5CBy8=" value="&quot;RV9GUX9YamA=&quot;"/>
    <we:property name="JhgCFC6PuT4SPANCSngKVU1LQR5IPjhEVXlCT2pzVAIZDTkNKA5BFiY=" value="&quot;RA==&quot;"/>
    <we:property name="JhgCFC6PuT4SPANCSngKVU1LQR5IPjhEVXlCT2pzVAIZDTkNKA5AGTI=" value="&quot;RQ==&quot;"/>
    <we:property name="JhgCFC6PuT4SPANCSngKVU1LQR5IPjhEVXlCT2pzVAIZDTkNKA5GGiY=" value="&quot;RV9GUA==&quot;"/>
    <we:property name="JhgCFC6PuT4SPANCSngKVU1LQR5IPjhEVXlCT2pzVAIZDTkNKA5RAy0=" value="&quot;RV9GUX9Z&quot;"/>
    <we:property name="JhgCFC6PuT4SPANCSngKVU1LQR5IPjhEVXlCT2pzVAIZDTkNKA5fBiY=" value="&quot;RQ==&quot;"/>
    <we:property name="JhgCFC6PuT4SPANCSngKVU1LQR5IPjhEVXlCT2pzVAIZDTkNKA5BBjA=" value="&quot;REFG&quot;"/>
    <we:property name="JhgCFC6PuT4SPANCSngKVU1LQR5IPjhEVXlCT2pzVAIZDTkNKA5ABi4=" value="&quot;RQ==&quot;"/>
    <we:property name="JhgCFC6PuT4SPANCSngKVU1LQR5IPjhEVXlCT2pzVAIZDTkNKA5fBz4=" value="&quot;RV9GVno=&quot;"/>
    <we:property name="JhgCFC6PuT4SPANCSngKVU1LQR5IPjhEVXlCT2pzVAIZDTkNKA5fGyM=" value="&quot;RkE=&quot;"/>
    <we:property name="JhgCFC6PuT4SPANCSngKVU1LQR5IPjhEVXlCT2pzVAIZDTkNKA5AFzw=" value="&quot;RA==&quot;"/>
    <we:property name="JhgCFC6PuT4SPANCSngKVU1LQR5IPjhEVXlCT2pzVAIZDTkNKA5cATg=" value="&quot;Rw==&quot;"/>
    <we:property name="JhgCFC6PuT4SPANCSngKVU1LQR5IPjhEVXlCT2pzVAIZDTkNKA5TFik=" value="&quot;RV9GUX4=&quot;"/>
    <we:property name="JhgCFC6PuT4SPANCSngKVU1LQR5IPjhEVXlCT2pzVAIZDTkNKA5AEDk=" value="&quot;QA==&quot;"/>
    <we:property name="JhgCFC6PuT4SPANCSngKVU1LQR5IPjhEVXlCT2pzVAIZDTkNKA5TBzk=" value="&quot;RA==&quot;"/>
    <we:property name="JhgCFC6PuT4SPANCSngKVU1LQR5IPjhEVXlCT2pzVAIZDTkNKA5BASs=" value="&quot;RQ==&quot;"/>
    <we:property name="JhgCFC6PuT4SPANCSngKVU1LQR5IPjhEVXlCT2pzVAIZDTkNKA5fED4=" value="&quot;Rw==&quot;"/>
    <we:property name="JhgCFC6PuT4SPANCSngKVU1LQR5IPjhEVXlCT2pzVAIZDTkNKA5BGik=" value="&quot;RQ==&quot;"/>
    <we:property name="JhgCFC6PuT4SPANCSngKVU1LQR5IPjhEVXlCT2pzVAIZDTkNKA5eBT4=" value="&quot;RQ==&quot;"/>
    <we:property name="JhgCFC6PuT4SPANCSngKVU1LQR5IPjhEVXlCT2pzVAIZDTkNKA5eBTo=" value="&quot;RQ==&quot;"/>
    <we:property name="JhgCFC6PuT4SPANCSngKVU1LQR5IPjhEVXlCT2pzVAIZDTkNKA5VFDo=" value="&quot;RV9GUX9YamA=&quot;"/>
    <we:property name="JhgCFC6PuT4SPANCSngKVU1LQR5IPjhEVXlCT2pzVAIZDTkNKA5bBTk=" value="&quot;RV9PWA==&quot;"/>
    <we:property name="JhgCFC6PuT4SPANCSngKVU1LQR5IPjhEVXlCT2pzVAIZDTkNKA5UECs=" value="&quot;RV9GUX9YamA=&quot;"/>
    <we:property name="JhgCFC6PuT4SPANCSngKVU1LQR5IPjhEVXlCT2pzVAIZDTkNKA5bBSM=" value="&quot;RA==&quot;"/>
    <we:property name="JhgCFC6PuT4SPANCSngKVU1LQR5IPjhEVXlCT2pzVAIZDTkNKA5bBS4=" value="&quot;Rg==&quot;"/>
    <we:property name="JhgCFC6PuT4SPAMrR3V6JVFKXG8FPzVbFGIzS3gIXFAFDiMePyNtGSIRXw==" value="&quot;&quot;"/>
    <we:property name="JhgCFC6PuT4SPAMrR3V6JVFKXG8FPzVbFGIzS3gIXFAFDiMePyNtBy8OXw==" value="&quot;VU1LQQ==&quot;"/>
    <we:property name="JhgCFC6PuT4SPAMrR3V6JVFKXG8FPzVbFGIzS3gIXFAFDiMePyNtByIRXw==" value="&quot;&quot;"/>
  </we:properties>
  <we:bindings>
    <we:binding id="Var$F$14" type="matrix" appref="{9CC2EB63-0CCB-43D8-A85D-FC32B9FED1BE}"/>
    <we:binding id="Var$F$15" type="matrix" appref="{C8CF06A8-68DA-4156-885C-D6C0B11D0FC6}"/>
    <we:binding id="Var$F$16" type="matrix" appref="{706BC3EE-CD34-465D-95CC-5F0870AC0A82}"/>
    <we:binding id="1Var0" type="matrix" appref="{958E9B2E-63D4-4576-93F2-2ACEC188838C}"/>
    <we:binding id="2Var0" type="matrix" appref="{D21254C8-762F-4572-A02A-08BAE276FF73}"/>
    <we:binding id="Var0" type="matrix" appref="{4FC19B42-5D70-4B32-ADE2-2F6619836AF8}"/>
    <we:binding id="Var$D$9:$F$9" type="matrix" appref="{84A28921-B2BB-4B6F-84E8-F670E2E84C1F}"/>
    <we:binding id="Var$F$14:$F$16" type="matrix" appref="{40EE0A53-9779-4D87-93FD-D4AC25448743}"/>
    <we:binding id="Var$C$11:$E$11" type="matrix" appref="{9B54CB13-998A-4CED-9B15-A10DD9D7025E}"/>
    <we:binding id="Situação II - P &lt;= Q div 3 (2)refEdit" type="matrix" appref="{111E8A66-9098-436F-A922-631B4743C135}"/>
    <we:binding id="Situação II - P &lt;= Q div 3 (2)Worker" type="matrix" appref="{DB802569-D7E8-4EC5-843D-D5D9F689EBC9}"/>
    <we:binding id="refEdit" type="matrix" appref="{2B010FD1-FA99-4865-BAD2-27BD17575F5C}"/>
    <we:binding id="Worker" type="matrix" appref="{51F62EAA-EF6F-4909-9BA7-CF841F8BD971}"/>
    <we:binding id="Obj" type="matrix" appref="{4663B0BC-A81F-49AE-A0DB-2BD39BE06F47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22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s="1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111E8A66-9098-436F-A922-631B4743C135}">
          <xm:f>#REF!</xm:f>
        </x15:webExtension>
        <x15:webExtension appRef="{DB802569-D7E8-4EC5-843D-D5D9F689EBC9}">
          <xm:f>#REF!</xm:f>
        </x15:webExtension>
        <x15:webExtension appRef="{9CC2EB63-0CCB-43D8-A85D-FC32B9FED1BE}">
          <xm:f>#REF!</xm:f>
        </x15:webExtension>
        <x15:webExtension appRef="{C8CF06A8-68DA-4156-885C-D6C0B11D0FC6}">
          <xm:f>#REF!</xm:f>
        </x15:webExtension>
        <x15:webExtension appRef="{706BC3EE-CD34-465D-95CC-5F0870AC0A82}">
          <xm:f>#REF!</xm:f>
        </x15:webExtension>
        <x15:webExtension appRef="{958E9B2E-63D4-4576-93F2-2ACEC188838C}">
          <xm:f>#REF!</xm:f>
        </x15:webExtension>
        <x15:webExtension appRef="{D21254C8-762F-4572-A02A-08BAE276FF73}">
          <xm:f>#REF!</xm:f>
        </x15:webExtension>
        <x15:webExtension appRef="{40EE0A53-9779-4D87-93FD-D4AC25448743}">
          <xm:f>#REF!</xm:f>
        </x15:webExtension>
        <x15:webExtension appRef="{9B54CB13-998A-4CED-9B15-A10DD9D7025E}">
          <xm:f>#REF!</xm:f>
        </x15:webExtension>
        <x15:webExtension appRef="{2B010FD1-FA99-4865-BAD2-27BD17575F5C}">
          <xm:f>#REF!</xm:f>
        </x15:webExtension>
        <x15:webExtension appRef="{51F62EAA-EF6F-4909-9BA7-CF841F8BD971}">
          <xm:f>#REF!</xm:f>
        </x15:webExtension>
        <x15:webExtension appRef="{4663B0BC-A81F-49AE-A0DB-2BD39BE06F47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C44F-C14E-43A7-A9A0-219CE0261FF4}">
  <dimension ref="A2:F45"/>
  <sheetViews>
    <sheetView workbookViewId="0"/>
  </sheetViews>
  <sheetFormatPr defaultRowHeight="15" x14ac:dyDescent="0.25"/>
  <cols>
    <col min="1" max="1" width="3.28515625" customWidth="1"/>
    <col min="2" max="2" width="28.140625" customWidth="1"/>
    <col min="3" max="3" width="14.7109375" bestFit="1" customWidth="1"/>
    <col min="4" max="4" width="22.85546875" bestFit="1" customWidth="1"/>
    <col min="5" max="5" width="18.5703125" bestFit="1" customWidth="1"/>
    <col min="6" max="6" width="3.7109375" customWidth="1"/>
    <col min="7" max="7" width="26.28515625" customWidth="1"/>
    <col min="8" max="8" width="26" bestFit="1" customWidth="1"/>
    <col min="9" max="9" width="1.85546875" bestFit="1" customWidth="1"/>
    <col min="10" max="10" width="32.42578125" bestFit="1" customWidth="1"/>
    <col min="11" max="11" width="2" bestFit="1" customWidth="1"/>
    <col min="12" max="12" width="10" bestFit="1" customWidth="1"/>
  </cols>
  <sheetData>
    <row r="2" spans="1:6" ht="30" x14ac:dyDescent="0.25">
      <c r="A2" s="16"/>
      <c r="B2" s="9" t="s">
        <v>8</v>
      </c>
      <c r="C2" s="7" t="s">
        <v>9</v>
      </c>
      <c r="D2" s="8" t="s">
        <v>10</v>
      </c>
      <c r="E2" s="13" t="s">
        <v>11</v>
      </c>
      <c r="F2" s="16"/>
    </row>
    <row r="3" spans="1:6" ht="3" customHeight="1" x14ac:dyDescent="0.25">
      <c r="A3" s="16"/>
      <c r="B3" s="2"/>
      <c r="C3" s="2"/>
      <c r="D3" s="2"/>
      <c r="E3" s="2"/>
      <c r="F3" s="16"/>
    </row>
    <row r="4" spans="1:6" x14ac:dyDescent="0.25">
      <c r="A4" s="16"/>
      <c r="B4" s="2"/>
      <c r="C4" s="5" t="s">
        <v>6</v>
      </c>
      <c r="D4" s="6" t="s">
        <v>4</v>
      </c>
      <c r="E4" s="14"/>
      <c r="F4" s="16"/>
    </row>
    <row r="5" spans="1:6" ht="3" customHeight="1" x14ac:dyDescent="0.25">
      <c r="A5" s="16"/>
      <c r="B5" s="2"/>
      <c r="C5" s="2"/>
      <c r="D5" s="2"/>
      <c r="E5" s="2"/>
      <c r="F5" s="16"/>
    </row>
    <row r="6" spans="1:6" x14ac:dyDescent="0.25">
      <c r="A6" s="16"/>
      <c r="B6" s="17" t="s">
        <v>12</v>
      </c>
      <c r="C6" s="20">
        <v>25</v>
      </c>
      <c r="D6" s="44">
        <f>15/60</f>
        <v>0.25</v>
      </c>
      <c r="E6" s="43">
        <f>10/60</f>
        <v>0.16666666666666666</v>
      </c>
      <c r="F6" s="16"/>
    </row>
    <row r="7" spans="1:6" x14ac:dyDescent="0.25">
      <c r="A7" s="16"/>
      <c r="B7" s="17" t="s">
        <v>13</v>
      </c>
      <c r="C7" s="20">
        <v>100</v>
      </c>
      <c r="D7" s="44">
        <f>30/60</f>
        <v>0.5</v>
      </c>
      <c r="E7" s="43">
        <f>40/60</f>
        <v>0.66666666666666663</v>
      </c>
      <c r="F7" s="16"/>
    </row>
    <row r="8" spans="1:6" ht="3" customHeight="1" x14ac:dyDescent="0.25">
      <c r="A8" s="16"/>
      <c r="B8" s="2"/>
      <c r="C8" s="2"/>
      <c r="D8" s="2"/>
      <c r="E8" s="2"/>
      <c r="F8" s="16"/>
    </row>
    <row r="9" spans="1:6" x14ac:dyDescent="0.25">
      <c r="A9" s="16"/>
      <c r="B9" s="10" t="s">
        <v>14</v>
      </c>
      <c r="C9" s="10"/>
      <c r="D9" s="6" t="s">
        <v>17</v>
      </c>
      <c r="E9" s="14"/>
      <c r="F9" s="16"/>
    </row>
    <row r="10" spans="1:6" ht="3" customHeight="1" x14ac:dyDescent="0.25">
      <c r="A10" s="16"/>
      <c r="B10" s="11"/>
      <c r="C10" s="11"/>
      <c r="D10" s="2"/>
      <c r="E10" s="2"/>
      <c r="F10" s="16"/>
    </row>
    <row r="11" spans="1:6" x14ac:dyDescent="0.25">
      <c r="A11" s="16"/>
      <c r="B11" s="12"/>
      <c r="C11" s="12"/>
      <c r="D11" s="20">
        <v>4000</v>
      </c>
      <c r="E11" s="20">
        <v>5600</v>
      </c>
      <c r="F11" s="16"/>
    </row>
    <row r="12" spans="1:6" ht="3" customHeight="1" x14ac:dyDescent="0.25">
      <c r="A12" s="16"/>
      <c r="B12" s="4"/>
      <c r="C12" s="4"/>
      <c r="D12" s="2"/>
      <c r="E12" s="2"/>
      <c r="F12" s="16"/>
    </row>
    <row r="13" spans="1:6" x14ac:dyDescent="0.25">
      <c r="A13" s="16"/>
      <c r="B13" s="10" t="s">
        <v>15</v>
      </c>
      <c r="C13" s="10"/>
      <c r="D13" s="6" t="s">
        <v>5</v>
      </c>
      <c r="E13" s="14"/>
      <c r="F13" s="16"/>
    </row>
    <row r="14" spans="1:6" ht="3" customHeight="1" x14ac:dyDescent="0.25">
      <c r="A14" s="16"/>
      <c r="B14" s="11"/>
      <c r="C14" s="11"/>
      <c r="D14" s="2"/>
      <c r="E14" s="2"/>
      <c r="F14" s="16"/>
    </row>
    <row r="15" spans="1:6" x14ac:dyDescent="0.25">
      <c r="A15" s="16"/>
      <c r="B15" s="12"/>
      <c r="C15" s="12"/>
      <c r="D15" s="5">
        <v>200</v>
      </c>
      <c r="E15" s="15">
        <v>200</v>
      </c>
      <c r="F15" s="16"/>
    </row>
    <row r="16" spans="1:6" ht="3" customHeight="1" x14ac:dyDescent="0.25">
      <c r="A16" s="16"/>
      <c r="B16" s="4"/>
      <c r="C16" s="4"/>
      <c r="D16" s="2"/>
      <c r="E16" s="2"/>
      <c r="F16" s="16"/>
    </row>
    <row r="17" spans="1:6" x14ac:dyDescent="0.25">
      <c r="A17" s="16"/>
      <c r="B17" s="10" t="s">
        <v>16</v>
      </c>
      <c r="C17" s="10"/>
      <c r="D17" s="6" t="s">
        <v>17</v>
      </c>
      <c r="E17" s="14"/>
      <c r="F17" s="16"/>
    </row>
    <row r="18" spans="1:6" ht="3" customHeight="1" x14ac:dyDescent="0.25">
      <c r="A18" s="16"/>
      <c r="B18" s="11"/>
      <c r="C18" s="11"/>
      <c r="D18" s="2"/>
      <c r="E18" s="2"/>
      <c r="F18" s="16"/>
    </row>
    <row r="19" spans="1:6" x14ac:dyDescent="0.25">
      <c r="A19" s="16"/>
      <c r="B19" s="12"/>
      <c r="C19" s="12"/>
      <c r="D19" s="18">
        <v>4800</v>
      </c>
      <c r="E19" s="19"/>
      <c r="F19" s="16"/>
    </row>
    <row r="21" spans="1:6" x14ac:dyDescent="0.25">
      <c r="C21" s="10" t="s">
        <v>8</v>
      </c>
      <c r="D21" s="8" t="s">
        <v>18</v>
      </c>
      <c r="E21" s="13" t="s">
        <v>19</v>
      </c>
    </row>
    <row r="22" spans="1:6" ht="3" customHeight="1" x14ac:dyDescent="0.25">
      <c r="C22" s="11"/>
      <c r="D22" s="2"/>
      <c r="E22" s="2"/>
    </row>
    <row r="23" spans="1:6" x14ac:dyDescent="0.25">
      <c r="C23" s="12"/>
      <c r="D23" s="5" t="s">
        <v>6</v>
      </c>
      <c r="E23" s="15" t="s">
        <v>20</v>
      </c>
    </row>
    <row r="24" spans="1:6" ht="3" customHeight="1" x14ac:dyDescent="0.25"/>
    <row r="25" spans="1:6" x14ac:dyDescent="0.25">
      <c r="C25" s="17" t="s">
        <v>12</v>
      </c>
      <c r="D25" s="20">
        <v>100</v>
      </c>
      <c r="E25" s="15">
        <v>200</v>
      </c>
      <c r="F25" s="16"/>
    </row>
    <row r="26" spans="1:6" x14ac:dyDescent="0.25">
      <c r="C26" s="17" t="s">
        <v>13</v>
      </c>
      <c r="D26" s="20">
        <v>200</v>
      </c>
      <c r="E26" s="15">
        <v>150</v>
      </c>
      <c r="F26" s="16"/>
    </row>
    <row r="28" spans="1:6" x14ac:dyDescent="0.25">
      <c r="B28" s="26" t="s">
        <v>43</v>
      </c>
      <c r="C28" s="28">
        <f>E25*(D25-C6)</f>
        <v>15000</v>
      </c>
    </row>
    <row r="29" spans="1:6" x14ac:dyDescent="0.25">
      <c r="B29" s="26" t="s">
        <v>44</v>
      </c>
      <c r="C29" s="28">
        <f>E26*(D26-C7)</f>
        <v>15000</v>
      </c>
    </row>
    <row r="30" spans="1:6" x14ac:dyDescent="0.25">
      <c r="B30" s="26" t="s">
        <v>42</v>
      </c>
      <c r="C30" s="28">
        <f>C28+C29-(D11+E11+D19)</f>
        <v>15600</v>
      </c>
    </row>
    <row r="45" spans="6:6" x14ac:dyDescent="0.25">
      <c r="F45" s="29"/>
    </row>
  </sheetData>
  <mergeCells count="9">
    <mergeCell ref="D19:E19"/>
    <mergeCell ref="C21:C23"/>
    <mergeCell ref="D4:E4"/>
    <mergeCell ref="B9:C11"/>
    <mergeCell ref="B13:C15"/>
    <mergeCell ref="B17:C19"/>
    <mergeCell ref="D9:E9"/>
    <mergeCell ref="D13:E13"/>
    <mergeCell ref="D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416F-971E-4612-85B9-96CAC77977E6}">
  <dimension ref="A2:G15"/>
  <sheetViews>
    <sheetView workbookViewId="0"/>
  </sheetViews>
  <sheetFormatPr defaultRowHeight="15" x14ac:dyDescent="0.25"/>
  <cols>
    <col min="2" max="2" width="30.5703125" bestFit="1" customWidth="1"/>
    <col min="4" max="4" width="25" bestFit="1" customWidth="1"/>
    <col min="5" max="5" width="10.5703125" customWidth="1"/>
    <col min="6" max="6" width="10.28515625" customWidth="1"/>
  </cols>
  <sheetData>
    <row r="2" spans="1:7" x14ac:dyDescent="0.25">
      <c r="A2" s="16"/>
      <c r="B2" s="21"/>
      <c r="C2" s="21"/>
      <c r="D2" s="40"/>
      <c r="E2" s="5" t="s">
        <v>12</v>
      </c>
      <c r="F2" s="5" t="s">
        <v>13</v>
      </c>
    </row>
    <row r="3" spans="1:7" ht="3" customHeight="1" x14ac:dyDescent="0.25">
      <c r="B3" s="2"/>
      <c r="C3" s="2"/>
      <c r="D3" s="2"/>
      <c r="E3" s="2"/>
      <c r="F3" s="2"/>
    </row>
    <row r="4" spans="1:7" x14ac:dyDescent="0.25">
      <c r="A4" s="16"/>
      <c r="B4" s="36" t="s">
        <v>69</v>
      </c>
      <c r="C4" s="32"/>
      <c r="D4" s="32"/>
      <c r="E4" s="33">
        <f>'T Base (enunciado)'!D25</f>
        <v>100</v>
      </c>
      <c r="F4" s="38">
        <f>'T Base (enunciado)'!D26</f>
        <v>200</v>
      </c>
      <c r="G4" s="16"/>
    </row>
    <row r="5" spans="1:7" x14ac:dyDescent="0.25">
      <c r="A5" s="16"/>
      <c r="B5" s="36" t="s">
        <v>70</v>
      </c>
      <c r="C5" s="32"/>
      <c r="D5" s="32"/>
      <c r="E5" s="33">
        <f>'T Base (enunciado)'!C6</f>
        <v>25</v>
      </c>
      <c r="F5" s="38">
        <f>'T Base (enunciado)'!C7</f>
        <v>100</v>
      </c>
      <c r="G5" s="16"/>
    </row>
    <row r="6" spans="1:7" ht="3" customHeight="1" x14ac:dyDescent="0.25">
      <c r="A6" s="16"/>
      <c r="B6" s="4"/>
      <c r="C6" s="2"/>
      <c r="D6" s="31"/>
      <c r="E6" s="2"/>
      <c r="F6" s="2"/>
      <c r="G6" s="16"/>
    </row>
    <row r="7" spans="1:7" ht="15" customHeight="1" x14ac:dyDescent="0.25">
      <c r="A7" s="16"/>
      <c r="B7" s="37" t="s">
        <v>72</v>
      </c>
      <c r="C7" s="34"/>
      <c r="D7" s="34"/>
      <c r="E7" s="35">
        <f>E4-E5</f>
        <v>75</v>
      </c>
      <c r="F7" s="39">
        <f>F4-F5</f>
        <v>100</v>
      </c>
      <c r="G7" s="16"/>
    </row>
    <row r="8" spans="1:7" x14ac:dyDescent="0.25">
      <c r="A8" s="16"/>
      <c r="B8" s="37"/>
      <c r="C8" s="34"/>
      <c r="D8" s="34"/>
      <c r="E8" s="35"/>
      <c r="F8" s="39"/>
      <c r="G8" s="16"/>
    </row>
    <row r="9" spans="1:7" ht="15" customHeight="1" x14ac:dyDescent="0.25">
      <c r="A9" s="16"/>
      <c r="B9" s="37" t="s">
        <v>71</v>
      </c>
      <c r="C9" s="34"/>
      <c r="D9" s="34"/>
      <c r="E9" s="6">
        <f>E7/E4</f>
        <v>0.75</v>
      </c>
      <c r="F9" s="14">
        <f>F7/F4</f>
        <v>0.5</v>
      </c>
      <c r="G9" s="16"/>
    </row>
    <row r="10" spans="1:7" x14ac:dyDescent="0.25">
      <c r="A10" s="16"/>
      <c r="B10" s="37"/>
      <c r="C10" s="34"/>
      <c r="D10" s="34"/>
      <c r="E10" s="6"/>
      <c r="F10" s="14"/>
      <c r="G10" s="16"/>
    </row>
    <row r="11" spans="1:7" ht="3" customHeight="1" x14ac:dyDescent="0.25">
      <c r="A11" s="16"/>
      <c r="B11" s="4"/>
      <c r="C11" s="2"/>
      <c r="D11" s="31"/>
      <c r="E11" s="2"/>
      <c r="F11" s="2"/>
      <c r="G11" s="16"/>
    </row>
    <row r="12" spans="1:7" x14ac:dyDescent="0.25">
      <c r="A12" s="16"/>
      <c r="B12" s="41" t="s">
        <v>73</v>
      </c>
      <c r="C12" s="41"/>
      <c r="D12" s="36"/>
      <c r="E12" s="5">
        <f>'T Base (enunciado)'!E25</f>
        <v>200</v>
      </c>
      <c r="F12" s="15">
        <f>'T Base (enunciado)'!E26</f>
        <v>150</v>
      </c>
      <c r="G12" s="16"/>
    </row>
    <row r="13" spans="1:7" ht="3" customHeight="1" x14ac:dyDescent="0.25">
      <c r="A13" s="16"/>
      <c r="B13" s="4"/>
      <c r="C13" s="2"/>
      <c r="D13" s="31"/>
      <c r="E13" s="2"/>
      <c r="F13" s="2"/>
      <c r="G13" s="16"/>
    </row>
    <row r="14" spans="1:7" x14ac:dyDescent="0.25">
      <c r="A14" s="16"/>
      <c r="B14" s="41" t="s">
        <v>81</v>
      </c>
      <c r="C14" s="41"/>
      <c r="D14" s="36"/>
      <c r="E14" s="5">
        <f>E12*E4</f>
        <v>20000</v>
      </c>
      <c r="F14" s="15">
        <f>F12*F4</f>
        <v>30000</v>
      </c>
      <c r="G14" s="16"/>
    </row>
    <row r="15" spans="1:7" x14ac:dyDescent="0.25">
      <c r="A15" s="16"/>
      <c r="B15" s="41" t="s">
        <v>68</v>
      </c>
      <c r="C15" s="41"/>
      <c r="D15" s="36"/>
      <c r="E15" s="45">
        <f>E14/(E14+F14)</f>
        <v>0.4</v>
      </c>
      <c r="F15" s="46">
        <f>F14/(E14+F14)</f>
        <v>0.6</v>
      </c>
      <c r="G15" s="16"/>
    </row>
  </sheetData>
  <mergeCells count="12">
    <mergeCell ref="B12:D12"/>
    <mergeCell ref="B14:D14"/>
    <mergeCell ref="B15:D15"/>
    <mergeCell ref="E7:E8"/>
    <mergeCell ref="F7:F8"/>
    <mergeCell ref="E9:E10"/>
    <mergeCell ref="F9:F10"/>
    <mergeCell ref="B2:D2"/>
    <mergeCell ref="B4:D4"/>
    <mergeCell ref="B5:D5"/>
    <mergeCell ref="B9:D10"/>
    <mergeCell ref="B7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0C55-6F44-47C3-856D-993448EC4C09}">
  <dimension ref="A1:K11"/>
  <sheetViews>
    <sheetView workbookViewId="0"/>
  </sheetViews>
  <sheetFormatPr defaultRowHeight="15" x14ac:dyDescent="0.25"/>
  <cols>
    <col min="3" max="3" width="19" bestFit="1" customWidth="1"/>
    <col min="4" max="4" width="15.28515625" bestFit="1" customWidth="1"/>
    <col min="5" max="5" width="15.5703125" bestFit="1" customWidth="1"/>
    <col min="6" max="6" width="15.5703125" customWidth="1"/>
    <col min="7" max="7" width="15.28515625" bestFit="1" customWidth="1"/>
    <col min="8" max="8" width="15.5703125" bestFit="1" customWidth="1"/>
    <col min="9" max="9" width="11" customWidth="1"/>
    <col min="10" max="10" width="11.7109375" customWidth="1"/>
  </cols>
  <sheetData>
    <row r="1" spans="1:11" ht="15.75" thickBot="1" x14ac:dyDescent="0.3"/>
    <row r="2" spans="1:11" ht="16.5" thickBot="1" x14ac:dyDescent="0.3">
      <c r="B2" s="58" t="s">
        <v>94</v>
      </c>
      <c r="C2" s="59"/>
      <c r="D2" s="59"/>
      <c r="E2" s="59"/>
      <c r="F2" s="59"/>
      <c r="G2" s="59"/>
      <c r="H2" s="59"/>
      <c r="I2" s="59"/>
      <c r="J2" s="60"/>
    </row>
    <row r="4" spans="1:11" ht="45" x14ac:dyDescent="0.25">
      <c r="B4" s="51" t="s">
        <v>8</v>
      </c>
      <c r="C4" s="47" t="s">
        <v>19</v>
      </c>
      <c r="D4" s="47" t="s">
        <v>84</v>
      </c>
      <c r="E4" s="47" t="s">
        <v>85</v>
      </c>
      <c r="F4" s="47" t="s">
        <v>91</v>
      </c>
      <c r="G4" s="47" t="s">
        <v>86</v>
      </c>
      <c r="H4" s="49" t="s">
        <v>87</v>
      </c>
      <c r="I4" s="47" t="s">
        <v>92</v>
      </c>
      <c r="J4" s="49" t="s">
        <v>93</v>
      </c>
      <c r="K4" s="16"/>
    </row>
    <row r="5" spans="1:11" ht="3" customHeight="1" x14ac:dyDescent="0.25">
      <c r="B5" s="52"/>
      <c r="C5" s="2"/>
      <c r="D5" s="2"/>
      <c r="E5" s="2"/>
      <c r="F5" s="2"/>
      <c r="G5" s="2"/>
      <c r="H5" s="2"/>
      <c r="I5" s="2"/>
      <c r="J5" s="2"/>
      <c r="K5" s="16"/>
    </row>
    <row r="6" spans="1:11" x14ac:dyDescent="0.25">
      <c r="B6" s="52"/>
      <c r="C6" s="48" t="s">
        <v>88</v>
      </c>
      <c r="D6" s="48" t="s">
        <v>5</v>
      </c>
      <c r="E6" s="48" t="s">
        <v>89</v>
      </c>
      <c r="F6" s="48" t="s">
        <v>17</v>
      </c>
      <c r="G6" s="48" t="s">
        <v>5</v>
      </c>
      <c r="H6" s="50" t="s">
        <v>89</v>
      </c>
      <c r="I6" s="48" t="s">
        <v>17</v>
      </c>
      <c r="J6" s="50" t="s">
        <v>17</v>
      </c>
      <c r="K6" s="16"/>
    </row>
    <row r="7" spans="1:11" ht="3" customHeight="1" x14ac:dyDescent="0.25">
      <c r="K7" s="16"/>
    </row>
    <row r="8" spans="1:11" x14ac:dyDescent="0.25">
      <c r="A8" s="16"/>
      <c r="B8" s="17" t="s">
        <v>12</v>
      </c>
      <c r="C8" s="5">
        <f>'T Base (enunciado)'!E25</f>
        <v>200</v>
      </c>
      <c r="D8" s="5">
        <f>'T Base (enunciado)'!D6*'T CR&amp;AC'!C8</f>
        <v>50</v>
      </c>
      <c r="E8" s="45">
        <f>D8/D11</f>
        <v>0.4</v>
      </c>
      <c r="F8" s="62">
        <f>E8*'T Base (enunciado)'!D11</f>
        <v>1600</v>
      </c>
      <c r="G8" s="44">
        <f>'T Base (enunciado)'!E6*C8</f>
        <v>33.333333333333329</v>
      </c>
      <c r="H8" s="46">
        <f>G8/G11</f>
        <v>0.25</v>
      </c>
      <c r="I8" s="62">
        <f>H8*'T Base (enunciado)'!E11</f>
        <v>1400</v>
      </c>
      <c r="J8" s="63">
        <f>F8+I8</f>
        <v>3000</v>
      </c>
      <c r="K8" s="16"/>
    </row>
    <row r="9" spans="1:11" x14ac:dyDescent="0.25">
      <c r="A9" s="16"/>
      <c r="B9" s="17" t="s">
        <v>13</v>
      </c>
      <c r="C9" s="5">
        <f>'T Base (enunciado)'!E26</f>
        <v>150</v>
      </c>
      <c r="D9" s="5">
        <f>'T Base (enunciado)'!D7*'T CR&amp;AC'!C9</f>
        <v>75</v>
      </c>
      <c r="E9" s="45">
        <f>D9/D11</f>
        <v>0.6</v>
      </c>
      <c r="F9" s="62">
        <f>E9*'T Base (enunciado)'!D11</f>
        <v>2400</v>
      </c>
      <c r="G9" s="5">
        <f>'T Base (enunciado)'!E7*'T CR&amp;AC'!C9</f>
        <v>100</v>
      </c>
      <c r="H9" s="46">
        <f>G9/G11</f>
        <v>0.75000000000000011</v>
      </c>
      <c r="I9" s="62">
        <f>H9*'T Base (enunciado)'!E11</f>
        <v>4200.0000000000009</v>
      </c>
      <c r="J9" s="63">
        <f>F9+I9</f>
        <v>6600.0000000000009</v>
      </c>
      <c r="K9" s="16"/>
    </row>
    <row r="10" spans="1:11" ht="3" customHeight="1" x14ac:dyDescent="0.25">
      <c r="A10" s="16"/>
      <c r="K10" s="16"/>
    </row>
    <row r="11" spans="1:11" x14ac:dyDescent="0.25">
      <c r="A11" s="16"/>
      <c r="B11" s="54" t="s">
        <v>90</v>
      </c>
      <c r="C11" s="53"/>
      <c r="D11" s="8">
        <f>D8+D9</f>
        <v>125</v>
      </c>
      <c r="E11" s="55">
        <f>E8+E9</f>
        <v>1</v>
      </c>
      <c r="F11" s="61">
        <f>F8+F9</f>
        <v>4000</v>
      </c>
      <c r="G11" s="56">
        <f>G8+G9</f>
        <v>133.33333333333331</v>
      </c>
      <c r="H11" s="57">
        <f>H8+H9</f>
        <v>1</v>
      </c>
      <c r="I11" s="61">
        <f>I8+I9</f>
        <v>5600.0000000000009</v>
      </c>
      <c r="J11" s="64">
        <f>J8+J9</f>
        <v>9600</v>
      </c>
      <c r="K11" s="16"/>
    </row>
  </sheetData>
  <mergeCells count="3">
    <mergeCell ref="B4:B6"/>
    <mergeCell ref="B11:C11"/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1D01-B4FF-4349-AA76-FD00FA224EBE}">
  <dimension ref="A2:F17"/>
  <sheetViews>
    <sheetView tabSelected="1" workbookViewId="0"/>
  </sheetViews>
  <sheetFormatPr defaultRowHeight="15" x14ac:dyDescent="0.25"/>
  <cols>
    <col min="2" max="2" width="13.5703125" customWidth="1"/>
    <col min="3" max="3" width="31.42578125" customWidth="1"/>
    <col min="5" max="5" width="0.140625" customWidth="1"/>
  </cols>
  <sheetData>
    <row r="2" spans="1:6" x14ac:dyDescent="0.25">
      <c r="B2" s="10" t="s">
        <v>8</v>
      </c>
      <c r="C2" s="8" t="s">
        <v>21</v>
      </c>
    </row>
    <row r="3" spans="1:6" ht="3" customHeight="1" x14ac:dyDescent="0.25">
      <c r="B3" s="11"/>
      <c r="C3" s="2"/>
    </row>
    <row r="4" spans="1:6" x14ac:dyDescent="0.25">
      <c r="B4" s="12"/>
      <c r="C4" s="15" t="s">
        <v>20</v>
      </c>
    </row>
    <row r="5" spans="1:6" ht="3" customHeight="1" x14ac:dyDescent="0.25"/>
    <row r="6" spans="1:6" x14ac:dyDescent="0.25">
      <c r="A6" s="16"/>
      <c r="B6" s="17" t="s">
        <v>12</v>
      </c>
      <c r="C6" s="15">
        <f>D16</f>
        <v>40</v>
      </c>
    </row>
    <row r="7" spans="1:6" x14ac:dyDescent="0.25">
      <c r="A7" s="16"/>
      <c r="B7" s="17" t="s">
        <v>13</v>
      </c>
      <c r="C7" s="15">
        <f>D17</f>
        <v>66.000000000000014</v>
      </c>
    </row>
    <row r="8" spans="1:6" ht="3" customHeight="1" x14ac:dyDescent="0.25">
      <c r="A8" s="16"/>
      <c r="B8" s="23"/>
      <c r="C8" s="23"/>
    </row>
    <row r="10" spans="1:6" x14ac:dyDescent="0.25">
      <c r="C10" s="42" t="s">
        <v>74</v>
      </c>
      <c r="D10" s="27">
        <f>'T Participações Relativas'!E15*'T Participações Relativas'!E9+'T Participações Relativas'!F15*'T Participações Relativas'!F9</f>
        <v>0.60000000000000009</v>
      </c>
    </row>
    <row r="11" spans="1:6" x14ac:dyDescent="0.25">
      <c r="C11" s="42" t="s">
        <v>75</v>
      </c>
      <c r="D11" s="22" cm="1">
        <f t="array" ref="D11:E11">'T Base (enunciado)'!D19:E19/D10</f>
        <v>7999.9999999999991</v>
      </c>
      <c r="E11">
        <v>0</v>
      </c>
      <c r="F11" t="s">
        <v>82</v>
      </c>
    </row>
    <row r="12" spans="1:6" x14ac:dyDescent="0.25">
      <c r="C12" s="42" t="s">
        <v>76</v>
      </c>
      <c r="D12" s="22">
        <f>'T Participações Relativas'!E15*D11</f>
        <v>3200</v>
      </c>
      <c r="E12" t="s">
        <v>82</v>
      </c>
    </row>
    <row r="13" spans="1:6" x14ac:dyDescent="0.25">
      <c r="C13" s="42" t="s">
        <v>77</v>
      </c>
      <c r="D13" s="22">
        <f>'T Participações Relativas'!F15*D11</f>
        <v>4799.9999999999991</v>
      </c>
      <c r="E13" t="s">
        <v>82</v>
      </c>
    </row>
    <row r="14" spans="1:6" x14ac:dyDescent="0.25">
      <c r="C14" s="42" t="s">
        <v>78</v>
      </c>
      <c r="D14">
        <f>D12/'T Participações Relativas'!E4</f>
        <v>32</v>
      </c>
      <c r="E14" t="s">
        <v>83</v>
      </c>
    </row>
    <row r="15" spans="1:6" x14ac:dyDescent="0.25">
      <c r="C15" s="42" t="s">
        <v>79</v>
      </c>
      <c r="D15">
        <f>D13/'T Participações Relativas'!F4</f>
        <v>23.999999999999996</v>
      </c>
      <c r="E15" t="s">
        <v>83</v>
      </c>
    </row>
    <row r="16" spans="1:6" x14ac:dyDescent="0.25">
      <c r="C16" s="42" t="s">
        <v>80</v>
      </c>
      <c r="D16">
        <f>'T CR&amp;AC'!J8/('T Base (enunciado)'!D25-'T Base (enunciado)'!C6)</f>
        <v>40</v>
      </c>
      <c r="F16" t="s">
        <v>83</v>
      </c>
    </row>
    <row r="17" spans="3:6" x14ac:dyDescent="0.25">
      <c r="C17" s="42" t="s">
        <v>95</v>
      </c>
      <c r="D17">
        <f>'T CR&amp;AC'!J9/('T Base (enunciado)'!D26-'T Base (enunciado)'!C7)</f>
        <v>66.000000000000014</v>
      </c>
      <c r="F17" t="s">
        <v>83</v>
      </c>
    </row>
  </sheetData>
  <mergeCells count="1">
    <mergeCell ref="B2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54C6-4FFF-4C63-B0E5-1C634FE49460}">
  <dimension ref="A1:F28"/>
  <sheetViews>
    <sheetView workbookViewId="0"/>
  </sheetViews>
  <sheetFormatPr defaultRowHeight="15" x14ac:dyDescent="0.25"/>
  <cols>
    <col min="1" max="1" width="25.85546875" customWidth="1"/>
    <col min="2" max="2" width="26" bestFit="1" customWidth="1"/>
    <col min="3" max="3" width="2" bestFit="1" customWidth="1"/>
    <col min="4" max="4" width="32.42578125" bestFit="1" customWidth="1"/>
    <col min="5" max="5" width="2" bestFit="1" customWidth="1"/>
    <col min="6" max="6" width="10" bestFit="1" customWidth="1"/>
  </cols>
  <sheetData>
    <row r="1" spans="1:6" x14ac:dyDescent="0.25">
      <c r="A1" s="25" t="s">
        <v>35</v>
      </c>
      <c r="B1" s="4" t="s">
        <v>36</v>
      </c>
      <c r="C1" s="2"/>
      <c r="D1" s="4" t="s">
        <v>37</v>
      </c>
      <c r="E1" s="2"/>
      <c r="F1" s="4" t="s">
        <v>40</v>
      </c>
    </row>
    <row r="2" spans="1:6" x14ac:dyDescent="0.25">
      <c r="A2" t="s">
        <v>22</v>
      </c>
      <c r="B2" t="s">
        <v>32</v>
      </c>
      <c r="C2" t="s">
        <v>23</v>
      </c>
      <c r="D2" t="s">
        <v>38</v>
      </c>
      <c r="E2" t="s">
        <v>24</v>
      </c>
      <c r="F2" t="s">
        <v>25</v>
      </c>
    </row>
    <row r="3" spans="1:6" x14ac:dyDescent="0.25">
      <c r="A3" s="24">
        <f>B3*D3+F3</f>
        <v>0</v>
      </c>
    </row>
    <row r="4" spans="1:6" x14ac:dyDescent="0.25">
      <c r="D4" s="1" t="s">
        <v>41</v>
      </c>
    </row>
    <row r="5" spans="1:6" x14ac:dyDescent="0.25">
      <c r="A5" t="s">
        <v>29</v>
      </c>
      <c r="B5" t="s">
        <v>31</v>
      </c>
      <c r="C5" t="s">
        <v>23</v>
      </c>
      <c r="D5" t="s">
        <v>39</v>
      </c>
    </row>
    <row r="6" spans="1:6" x14ac:dyDescent="0.25">
      <c r="A6" s="24">
        <f>B6*D6</f>
        <v>0</v>
      </c>
    </row>
    <row r="8" spans="1:6" x14ac:dyDescent="0.25">
      <c r="A8" t="s">
        <v>26</v>
      </c>
      <c r="B8" t="s">
        <v>27</v>
      </c>
      <c r="C8" t="s">
        <v>28</v>
      </c>
      <c r="D8" t="s">
        <v>30</v>
      </c>
    </row>
    <row r="9" spans="1:6" x14ac:dyDescent="0.25">
      <c r="A9" s="24">
        <f>A3-A6</f>
        <v>0</v>
      </c>
    </row>
    <row r="11" spans="1:6" x14ac:dyDescent="0.25">
      <c r="A11" t="s">
        <v>33</v>
      </c>
    </row>
    <row r="12" spans="1:6" x14ac:dyDescent="0.25">
      <c r="A12" t="s">
        <v>26</v>
      </c>
      <c r="B12" t="s">
        <v>7</v>
      </c>
      <c r="C12" t="s">
        <v>23</v>
      </c>
      <c r="D12" t="s">
        <v>34</v>
      </c>
      <c r="E12" t="s">
        <v>28</v>
      </c>
      <c r="F12" t="s">
        <v>25</v>
      </c>
    </row>
    <row r="13" spans="1:6" x14ac:dyDescent="0.25">
      <c r="B13">
        <f>B3+B6/2</f>
        <v>0</v>
      </c>
      <c r="D13">
        <f>D6-D3</f>
        <v>0</v>
      </c>
      <c r="F13">
        <f>F3</f>
        <v>0</v>
      </c>
    </row>
    <row r="15" spans="1:6" x14ac:dyDescent="0.25">
      <c r="A15" t="s">
        <v>49</v>
      </c>
    </row>
    <row r="16" spans="1:6" x14ac:dyDescent="0.25">
      <c r="A16" t="s">
        <v>46</v>
      </c>
      <c r="B16" t="s">
        <v>47</v>
      </c>
      <c r="C16" s="29" t="s">
        <v>28</v>
      </c>
      <c r="D16" s="29" t="s">
        <v>48</v>
      </c>
    </row>
    <row r="18" spans="1:4" x14ac:dyDescent="0.25">
      <c r="A18" t="s">
        <v>50</v>
      </c>
    </row>
    <row r="19" spans="1:4" x14ac:dyDescent="0.25">
      <c r="A19" s="30" t="s">
        <v>51</v>
      </c>
      <c r="B19" t="s">
        <v>45</v>
      </c>
      <c r="C19" t="s">
        <v>52</v>
      </c>
      <c r="D19" t="s">
        <v>47</v>
      </c>
    </row>
    <row r="21" spans="1:4" x14ac:dyDescent="0.25">
      <c r="A21" t="s">
        <v>56</v>
      </c>
      <c r="B21" t="s">
        <v>57</v>
      </c>
      <c r="D21" t="s">
        <v>58</v>
      </c>
    </row>
    <row r="22" spans="1:4" x14ac:dyDescent="0.25">
      <c r="A22" t="s">
        <v>53</v>
      </c>
      <c r="B22" t="s">
        <v>54</v>
      </c>
      <c r="C22" t="s">
        <v>24</v>
      </c>
      <c r="D22" t="s">
        <v>55</v>
      </c>
    </row>
    <row r="24" spans="1:4" x14ac:dyDescent="0.25">
      <c r="A24" t="s">
        <v>61</v>
      </c>
      <c r="B24" t="s">
        <v>62</v>
      </c>
      <c r="D24" t="s">
        <v>63</v>
      </c>
    </row>
    <row r="25" spans="1:4" x14ac:dyDescent="0.25">
      <c r="A25" t="s">
        <v>64</v>
      </c>
      <c r="B25" t="s">
        <v>59</v>
      </c>
      <c r="C25" t="s">
        <v>52</v>
      </c>
      <c r="D25" t="s">
        <v>60</v>
      </c>
    </row>
    <row r="28" spans="1:4" x14ac:dyDescent="0.25">
      <c r="A28" t="s">
        <v>65</v>
      </c>
      <c r="B28" t="s">
        <v>66</v>
      </c>
      <c r="C28" t="s">
        <v>52</v>
      </c>
      <c r="D28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Integrantes</vt:lpstr>
      <vt:lpstr>T Base (enunciado)</vt:lpstr>
      <vt:lpstr>T Participações Relativas</vt:lpstr>
      <vt:lpstr>T CR&amp;AC</vt:lpstr>
      <vt:lpstr>Resultados</vt:lpstr>
      <vt:lpstr>Fórmulas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Avaliação A3 - Parte 1</dc:title>
  <dc:subject/>
  <dc:creator>Felipe Silva;Luiza Heller;Marcius Moraes</dc:creator>
  <cp:keywords>Sistema de Planejamento e Custos para Engenharia</cp:keywords>
  <dc:description/>
  <cp:lastModifiedBy>Felipe Silva</cp:lastModifiedBy>
  <cp:revision/>
  <dcterms:created xsi:type="dcterms:W3CDTF">2024-04-01T13:16:43Z</dcterms:created>
  <dcterms:modified xsi:type="dcterms:W3CDTF">2024-06-30T00:01:36Z</dcterms:modified>
  <cp:category/>
  <cp:contentStatus/>
</cp:coreProperties>
</file>