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8"/>
  <workbookPr/>
  <mc:AlternateContent xmlns:mc="http://schemas.openxmlformats.org/markup-compatibility/2006">
    <mc:Choice Requires="x15">
      <x15ac:absPath xmlns:x15ac="http://schemas.microsoft.com/office/spreadsheetml/2010/11/ac" url="C:\Users\Mithra\Documents\FelipeFreitas\Sistemas_de_Planejamento_e_Custos_para_Engenharia\"/>
    </mc:Choice>
  </mc:AlternateContent>
  <xr:revisionPtr revIDLastSave="0" documentId="13_ncr:1_{EB88AEF3-6A00-41FD-B797-229652444E37}" xr6:coauthVersionLast="47" xr6:coauthVersionMax="47" xr10:uidLastSave="{00000000-0000-0000-0000-000000000000}"/>
  <bookViews>
    <workbookView xWindow="28680" yWindow="-120" windowWidth="29040" windowHeight="16440" activeTab="2" xr2:uid="{00000000-000D-0000-FFFF-FFFF00000000}"/>
  </bookViews>
  <sheets>
    <sheet name="Integrantes" sheetId="1" r:id="rId1"/>
    <sheet name="Problema 1 (enunciado)" sheetId="10" r:id="rId2"/>
    <sheet name="Problema 1" sheetId="1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1" l="1"/>
  <c r="J33" i="11"/>
  <c r="I36" i="11"/>
  <c r="I33" i="11"/>
  <c r="H28" i="11"/>
  <c r="H29" i="11"/>
  <c r="F28" i="11"/>
  <c r="F29" i="11"/>
  <c r="C11" i="11"/>
  <c r="C29" i="11"/>
  <c r="C28" i="11"/>
  <c r="C27" i="11"/>
  <c r="C26" i="11"/>
  <c r="G26" i="11" s="1"/>
  <c r="G31" i="11" s="1"/>
  <c r="C25" i="11"/>
  <c r="C31" i="11" s="1"/>
  <c r="E7" i="11"/>
  <c r="E6" i="11"/>
  <c r="D7" i="11"/>
  <c r="D6" i="11"/>
  <c r="D5" i="11"/>
  <c r="C7" i="11"/>
  <c r="C6" i="11"/>
  <c r="G6" i="11" s="1"/>
  <c r="C5" i="11"/>
  <c r="E19" i="10"/>
  <c r="D19" i="10"/>
  <c r="G7" i="11" l="1"/>
  <c r="D27" i="11" s="1"/>
  <c r="D26" i="11"/>
  <c r="C10" i="11"/>
  <c r="C12" i="11" s="1"/>
  <c r="E26" i="11"/>
  <c r="E31" i="11" s="1"/>
  <c r="G5" i="11"/>
  <c r="D25" i="11" s="1"/>
  <c r="H27" i="11" l="1"/>
  <c r="F27" i="11"/>
  <c r="F25" i="11"/>
  <c r="D31" i="11"/>
  <c r="H25" i="11"/>
  <c r="C36" i="11"/>
  <c r="C37" i="11" s="1"/>
  <c r="C33" i="11"/>
  <c r="C34" i="11" s="1"/>
  <c r="H26" i="11"/>
  <c r="F26" i="11"/>
  <c r="H31" i="11" l="1"/>
  <c r="G36" i="11" s="1"/>
  <c r="G37" i="11" s="1"/>
  <c r="F31" i="11"/>
  <c r="E36" i="11" l="1"/>
  <c r="E37" i="11" s="1"/>
  <c r="E33" i="11"/>
  <c r="E34" i="11" s="1"/>
</calcChain>
</file>

<file path=xl/sharedStrings.xml><?xml version="1.0" encoding="utf-8"?>
<sst xmlns="http://schemas.openxmlformats.org/spreadsheetml/2006/main" count="112" uniqueCount="58">
  <si>
    <t>Integrantes</t>
  </si>
  <si>
    <t>Felipe Freitas Silva</t>
  </si>
  <si>
    <t>Luiza Heller Kroeff Plá</t>
  </si>
  <si>
    <t>Marcius Moraes Vargas</t>
  </si>
  <si>
    <t>Análise Comparativa</t>
  </si>
  <si>
    <t>Podemos perceber que o Produto P é o mais lucrativo, visto que, tendo em média as operações A e B, é o que gera maior lucro em relação as horas consumidas.</t>
  </si>
  <si>
    <t>Portanto, no caso 1, em que não há restrições quanto à sua produção, é mais vantajoso produzir apenas do Produto P.</t>
  </si>
  <si>
    <t>Por outro lado, no momento em que associamos a produção de P com Q, apesar de ainda querermos produzir o máximo de P, temos de produzir 3 Q's para cada um e, por este motivo, o limite de produção de Q é levado em consideração. Caso sobre tempo, devemos produzir o máximo possível do produto R, já que este é livre de restrições.</t>
  </si>
  <si>
    <t>Mais ainda, quando inserimos duas dependências para P (Q e R) é que as produções começam a "nivelar" em questão de quantidade, visto que precisamos aumentar a produção de Q e R para poder aumentar P e, consequentemente, aumentar o lucro, que é nosso objetivo.</t>
  </si>
  <si>
    <t>Itens de Custo de Produção</t>
  </si>
  <si>
    <t>Custos no Primeiro Turno</t>
  </si>
  <si>
    <t>Fixo Direto</t>
  </si>
  <si>
    <t>Unitário dos Recursos Variáveis</t>
  </si>
  <si>
    <t>($ por mês)</t>
  </si>
  <si>
    <t>Material</t>
  </si>
  <si>
    <t>Mão de obra direta</t>
  </si>
  <si>
    <t>Energia</t>
  </si>
  <si>
    <t>Armazenagem</t>
  </si>
  <si>
    <t>Depreciação</t>
  </si>
  <si>
    <t>-</t>
  </si>
  <si>
    <t>Capacidade instalada de produção:</t>
  </si>
  <si>
    <t>horas/mês</t>
  </si>
  <si>
    <t>Peça metálica = A + B</t>
  </si>
  <si>
    <t>A</t>
  </si>
  <si>
    <t>B</t>
  </si>
  <si>
    <t>Utilização dos Recursos de Produção</t>
  </si>
  <si>
    <t>Fabricação do Componente A</t>
  </si>
  <si>
    <t>Fabricação do Componente B</t>
  </si>
  <si>
    <t>Montagem de Peças Metálicas</t>
  </si>
  <si>
    <t>kWh</t>
  </si>
  <si>
    <t>horas</t>
  </si>
  <si>
    <t>kg</t>
  </si>
  <si>
    <t>(36 unidades de A)</t>
  </si>
  <si>
    <t>(36 unidades de B)</t>
  </si>
  <si>
    <t>(12 peças metálicas)</t>
  </si>
  <si>
    <t>Custos fixos indiretos</t>
  </si>
  <si>
    <t>/mês</t>
  </si>
  <si>
    <t>para um 3º mês</t>
  </si>
  <si>
    <t>horas/mês/turno</t>
  </si>
  <si>
    <t>(4 unidades de A)</t>
  </si>
  <si>
    <t>(6 unidades de B)</t>
  </si>
  <si>
    <t>(1 peça metálicas)</t>
  </si>
  <si>
    <t>Peças produzidas por hora</t>
  </si>
  <si>
    <t>Peças produzidas por mês/turno</t>
  </si>
  <si>
    <t>Variável Unitário</t>
  </si>
  <si>
    <t>($ por peça)</t>
  </si>
  <si>
    <t>Custos no Segundo Turno</t>
  </si>
  <si>
    <t>Custos no Terceiro Turno</t>
  </si>
  <si>
    <t>Total</t>
  </si>
  <si>
    <t>hora</t>
  </si>
  <si>
    <t>kg. Total =</t>
  </si>
  <si>
    <t>horas. Total =</t>
  </si>
  <si>
    <t>kWh. Total =</t>
  </si>
  <si>
    <t>Custo total unitário de produção de 4000 peças por mês:</t>
  </si>
  <si>
    <t>Custo direto unitário:</t>
  </si>
  <si>
    <t>Custo direto unitário de produção de 6000 peças por mês:</t>
  </si>
  <si>
    <t>Custo Direto Total</t>
  </si>
  <si>
    <t>Custo Direto Unitário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</si>
</sst>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0" xfId="1" applyFont="1"/>
    <xf numFmtId="2" fontId="0" fillId="0" borderId="0" xfId="1" applyNumberFormat="1" applyFont="1"/>
    <xf numFmtId="2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/>
    <xf numFmtId="0" fontId="0" fillId="0" borderId="11" xfId="0" applyBorder="1"/>
    <xf numFmtId="44" fontId="0" fillId="0" borderId="1" xfId="1" applyFont="1" applyBorder="1"/>
    <xf numFmtId="2" fontId="0" fillId="0" borderId="1" xfId="1" applyNumberFormat="1" applyFont="1" applyBorder="1"/>
    <xf numFmtId="0" fontId="1" fillId="0" borderId="11" xfId="0" applyFon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44" fontId="0" fillId="0" borderId="1" xfId="0" applyNumberFormat="1" applyBorder="1"/>
    <xf numFmtId="0" fontId="1" fillId="0" borderId="0" xfId="0" applyFont="1" applyAlignment="1">
      <alignment wrapText="1"/>
    </xf>
    <xf numFmtId="4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Medium9"/>
  <colors>
    <mruColors>
      <color rgb="FFE87331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B1372D7-AB95-484B-95BE-AACF8D95D0FC}">
  <we:reference id="wa104100404" version="3.0.0.1" store="en-US" storeType="omex"/>
  <we:alternateReferences>
    <we:reference id="wa104100404" version="3.0.0.1" store="en-US" storeType="omex"/>
  </we:alternateReferences>
  <we:properties>
    <we:property name="Bh4aFyoaBT9XEg==" value="&quot;RA==&quot;"/>
    <we:property name="Bh4aFyoaBTRcEg==" value="&quot;MiMx&quot;"/>
    <we:property name="JQMZBToLLnF/HDJCVnkMFAMfAC0EPyI=" value="&quot;UTVSWHVMHHUL&quot;"/>
    <we:property name="JQMZBToLLnF/HDJCVnkVFxs=" value="&quot;UTVSUHc=&quot;"/>
    <we:property name="JQMZBToLLnF/HDJCVnkXFAk7CCE=" value="&quot;RA==&quot;"/>
    <we:property name="JQMZBToLLnF/HDJCVnkpGh0ABD03KDReRA==" value="&quot;VU1LQQ==&quot;"/>
    <we:property name="JQMZBToLLnF/HDJCVnkpGh0ABD03KDReRw==" value="&quot;VU9LQQ==&quot;"/>
    <we:property name="JQMZBToLLnF/HDJCVnkpGh0ABD03KDlBRA==" value="&quot;UTNSUH5SfhMWRH8=&quot;"/>
    <we:property name="JQMZBToLLnF/HDJCVnkpGh0ABD03KDlBRw==" value="&quot;RQ==&quot;"/>
    <we:property name="JQMZBToLLnF/HDJCVnkpGh0ABD03NCRf" value="&quot;Rw==&quot;"/>
    <we:property name="JQMZBToLLnF/HDJCVnkpGh0ABD03NDRV" value="&quot;RA==&quot;"/>
    <we:property name="JQMZBToLLnF/HDJCVnkpGh0ABD03NjlBRA==" value="&quot;UTJSUH5SfhIWRH8=&quot;"/>
    <we:property name="JQMZBToLLnF/HDJCVnkpGh0ABD03NjlBRw==" value="&quot;UTVSWHVMHHUL&quot;"/>
    <we:property name="JQMZBToLLnF/HDJCVnkpGh0ABD03Pz9V" value="&quot;RQ==&quot;"/>
    <we:property name="JQMZBToLLnF/HDJDFDc2AxQEPi4LOQ==" value="&quot;RV9GUX4=&quot;"/>
    <we:property name="JQMZBToLLnF/HDJDFDc2AxQEPi4aKQ==" value="&quot;RA==&quot;"/>
    <we:property name="JQMZBToLLnF/HDJDFDc2AxQEPiENPQ==" value="&quot;RA==&quot;"/>
    <we:property name="JQMZBToLLnF/HDJDFDc2AxQEPiEdNw==" value="&quot;Rw==&quot;"/>
    <we:property name="JQMZBToLLnF/HDJDFDc2AxQEPiIGMw==" value="&quot;RkE=&quot;"/>
    <we:property name="JQMZBToLLnF/HDJDFDc2AxQEPiINLg==" value="&quot;RA==&quot;"/>
    <we:property name="JQMZBToLLnF/HDJDFDc2AxQEPiIaLg==" value="&quot;RV9GVno=&quot;"/>
    <we:property name="JQMZBToLLnF/HDJDFDc2AxQEPiIbNg==" value="&quot;RQ==&quot;"/>
    <we:property name="JQMZBToLLnF/HDJDFDc2AxQEPiMAKWA=" value="&quot;UTJSUH5SfhIWRH8=&quot;"/>
    <we:property name="JQMZBToLLnF/HDJDFDc2AxQEPiMAKWM=" value="&quot;UTVSWHVMHHUL&quot;"/>
    <we:property name="JQMZBToLLnF/HDJDFDc2AxQEPiMYKg==" value="&quot;RQ==&quot;"/>
    <we:property name="JQMZBToLLnF/HDJDFDc2AxQEPiMYLg==" value="&quot;RQ==&quot;"/>
    <we:property name="JQMZBToLLnF/HDJDFDc2AxQEPiYYKQ==" value="&quot;RV9PWA==&quot;"/>
    <we:property name="JQMZBToLLnF/HDJDFDc2AxQEPiYYMw==" value="&quot;RA==&quot;"/>
    <we:property name="JQMZBToLLnF/HDJDFDc2AxQEPiYYPg==" value="&quot;Rg==&quot;"/>
    <we:property name="JQMZBToLLnF/HDJDFDc2AxQEPigJKg==" value="&quot;RV9GUX9YamA=&quot;"/>
    <we:property name="JQMZBToLLnF/HDJDFDc2AxQEPikNOw==" value="&quot;RV9GUX9YamA=&quot;"/>
    <we:property name="JQMZBToLLnF/HDJDFDc2AxQEPioGPQ==" value="&quot;OSE=&quot;"/>
    <we:property name="JQMZBToLLnF/HDJDFDc2AxQEPiwePQ==" value="&quot;RV9GUX9Z&quot;"/>
    <we:property name="JQMZBToLLnF/HDJDFDc2AxQEPj0AKWA=" value="&quot;UTNSUH5SfhMWRH8=&quot;"/>
    <we:property name="JQMZBToLLnF/HDJDFDc2AxQEPj0AKWM=" value="&quot;RQ==&quot;"/>
    <we:property name="JQMZBToLLnF/HDJDFDc2AxQEPj0EIg==" value="&quot;RQ==&quot;"/>
    <we:property name="JQMZBToLLnF/HDJDFDc2AxQEPj0KLA==" value="&quot;RA==&quot;"/>
    <we:property name="JQMZBToLLnF/HDJDFDc2AxQEPj0NKQ==" value="&quot;QA==&quot;"/>
    <we:property name="JQMZBToLLnF/HDJDFDc2AxQEPj0NNmA=" value="&quot;VU1LQQ==&quot;"/>
    <we:property name="JQMZBToLLnF/HDJDFDc2AxQEPj0NNmM=" value="&quot;VU9LQQ==&quot;"/>
    <we:property name="JQMZBToLLnF/HDJDFDc2AxQEPj0bPg==" value="&quot;RQ==&quot;"/>
    <we:property name="JQMZBToLLnF/HDJDFDc2AxQEPj8aPw==" value="&quot;RV9GUX9YamA=&quot;"/>
    <we:property name="JQMZBToLLnF/HDJDFDc2AxQEPjkJNg==" value="&quot;RQ==&quot;"/>
    <we:property name="JQMZBToLLnF/HDJDFDc2AxQEPjsHNg==" value="&quot;RV9GUA==&quot;"/>
    <we:property name="JQMZBToLLnF/HDJDFDc2AxQEPjwHOQ==" value="&quot;RQ==&quot;"/>
    <we:property name="JQMZBToLLnF/HDJDFDc2AxQEPjwLNg==" value="&quot;RA==&quot;"/>
    <we:property name="JQMZBToLLnF/HDJDFDc2AxQEPjwbIA==" value="&quot;REFG&quot;"/>
    <we:property name="JQMZBToLLnF/HDJDFDc2AxQEPjwcOw==" value="&quot;RQ==&quot;"/>
    <we:property name="JQMZBToLLnF/HDJDKDow" value="&quot;UTVSUHc=&quot;"/>
    <we:property name="JQMZBToLLnF/HDJDKjkiOBgY" value="&quot;RA==&quot;"/>
    <we:property name="JQMZBToLLnF/HDJDMTkoHBAUDSob" value="&quot;UTVSWHVMHHUL&quot;"/>
    <we:property name="JhgCFC6PuT4SPGpPRws/GFEkBDwcKDjVgC8RRg47BxgXAyMNKQ==" value="&quot;UTJSUH5SfhQWRHs=&quot;"/>
    <we:property name="JhgCFC6PuT4SPGpPRws/GFEkBDwcKDjVgC8RRg47BxgXAyMNKWA=" value="&quot;&quot;"/>
    <we:property name="JhgCFC6PuT4SPGpPRws/GFEkBDwcKDjVgC8RRg47BxgXAyMNKWE=" value="&quot;&quot;"/>
    <we:property name="JhgCFC6PuT4SPGpPRws/GFEkBDwcKDjVgC8RRg47BxgXAyMNKWI=" value="&quot;&quot;"/>
    <we:property name="JhgCFC6PuT4SPGpPRws/GFEkBDwcKDjVgC8RRg47BxgXAyMNKWM=" value="&quot;&quot;"/>
    <we:property name="JhgCFC6PuT4SPGpPRws/GFEkBDwcKDjVgC8RRg47BxgXAyMNKWQ=" value="&quot;&quot;"/>
    <we:property name="JhgCFC6PuT4SPGpPRws/GFEkBDwcKDjVgC8RRg47BxgXAyMNKWU=" value="&quot;&quot;"/>
    <we:property name="JhgCFC6PuT4SPGpPRws/GFEkBDwcKDjVgC8RRhU7DTwfDw==" value="&quot;RA==&quot;"/>
    <we:property name="JhgCFC6PuT4SPGpPRws/GFEkBDwcKDjVgC8RRhc4Hw==" value="&quot;UTZSWA==&quot;"/>
    <we:property name="JhgCFC6PuT4SPGpPRws/GFEkBDwcKDjVgC8RRis1GQcTExABKiI=" value="&quot;RV9PWA==&quot;"/>
    <we:property name="JhgCFC6PuT4SPGpPRws/GFEkBDwcKDjVgC8RRis1GQcTExABKjU=" value="&quot;Rg==&quot;"/>
    <we:property name="JhgCFC6PuT4SPGpPRws/GFEkBDwcKDjVgC8RRis1GQcTExABKjg=" value="&quot;RA==&quot;"/>
    <we:property name="JhgCFC6PuT4SPGpPRws/GFEkBDwcKDjVgC8RRis1GQcTExAEKiE=" value="&quot;RQ==&quot;"/>
    <we:property name="JhgCFC6PuT4SPGpPRws/GFEkBDwcKDjVgC8RRis1GQcTExAEKiU=" value="&quot;RQ==&quot;"/>
    <we:property name="JhgCFC6PuT4SPGpPRws/GFEkBDwcKDjVgC8RRis1GQcTExAFKCU=" value="&quot;RV9GVno=&quot;"/>
    <we:property name="JhgCFC6PuT4SPGpPRws/GFEkBDwcKDjVgC8RRis1GQcTExAFKT0=" value="&quot;RQ==&quot;"/>
    <we:property name="JhgCFC6PuT4SPGpPRws/GFEkBDwcKDjVgC8RRis1GQcTExAFNDg=" value="&quot;RkE=&quot;"/>
    <we:property name="JhgCFC6PuT4SPGpPRws/GFEkBDwcKDjVgC8RRis1GQcTExAFPyU=" value="&quot;RA==&quot;"/>
    <we:property name="JhgCFC6PuT4SPGpPRws/GFEkBDwcKDjVgC8RRis1GQcTExAGLzw=" value="&quot;RA==&quot;"/>
    <we:property name="JhgCFC6PuT4SPGpPRws/GFEkBDwcKDjVgC8RRis1GQcTExAGPzY=" value="&quot;RA==&quot;"/>
    <we:property name="JhgCFC6PuT4SPGpPRws/GFEkBDwcKDjVgC8RRis1GQcTExAJKCI=" value="&quot;RA==&quot;"/>
    <we:property name="JhgCFC6PuT4SPGpPRws/GFEkBDwcKDjVgC8RRis1GQcTExAJOTI=" value="&quot;RV9GUX4=&quot;"/>
    <we:property name="JhgCFC6PuT4SPGpPRws/GFEkBDwcKDjVgC8RRis1GQcTExALLDY=" value="&quot;RV9GUX9Z&quot;"/>
    <we:property name="JhgCFC6PuT4SPGpPRws/GFEkBDwcKDjVgC8RRis1GQcTExANNDY=" value="&quot;OSE=&quot;"/>
    <we:property name="JhgCFC6PuT4SPGpPRws/GFEkBDwcKDjVgC8RRis1GQcTExAOPzA=" value="&quot;RV9GUX9YamA=&quot;"/>
    <we:property name="JhgCFC6PuT4SPGpPRws/GFEkBDwcKDjVgC8RRis1GQcTExAPOyE=" value="&quot;RV9GUX9YamA=&quot;"/>
    <we:property name="JhgCFC6PuT4SPGpPRws/GFEkBDwcKDjVgC8RRis1GQcTExAYKDQ=" value="&quot;RV9GUX9YamA=&quot;"/>
    <we:property name="JhgCFC6PuT4SPGpPRws/GFEkBDwcKDjVgC8RRis1GQcTExAaKTU=" value="&quot;RQ==&quot;"/>
    <we:property name="JhgCFC6PuT4SPGpPRws/GFEkBDwcKDjVgC8RRis1GQcTExAaNik=" value="&quot;RQ==&quot;"/>
    <we:property name="JhgCFC6PuT4SPGpPRws/GFEkBDwcKDjVgC8RRis1GQcTExAaOCc=" value="&quot;RA==&quot;"/>
    <we:property name="JhgCFC6PuT4SPGpPRws/GFEkBDwcKDjVgC8RRis1GQcTExAaPyI=" value="&quot;QA==&quot;"/>
    <we:property name="JhgCFC6PuT4SPGpPRws/GFEkBDwcKDjVgC8RRis1GQcTExAbKSs=" value="&quot;REFG&quot;"/>
    <we:property name="JhgCFC6PuT4SPGpPRws/GFEkBDwcKDjVgC8RRis1GQcTExAbLjA=" value="&quot;RQ==&quot;"/>
    <we:property name="JhgCFC6PuT4SPGpPRws/GFEkBDwcKDjVgC8RRis1GQcTExAbNTI=" value="&quot;RQ==&quot;"/>
    <we:property name="JhgCFC6PuT4SPGpPRws/GFEkBDwcKDjVgC8RRis1GQcTExAbOT0=" value="&quot;RA==&quot;"/>
    <we:property name="JhgCFC6PuT4SPGpPRws/GFEkBDwcKDjVgC8RRis1GQcTExAcNT0=" value="&quot;RV9GUA==&quot;"/>
    <we:property name="JhgCFC6PuT4SPGpPRws/GFEkBDwcKDjVgC8RRis1GQcTExAeOz0=" value="&quot;RQ==&quot;"/>
    <we:property name="OhMc" value="&quot;&quot;"/>
    <we:property name="UniqueID" value="&quot;2024311711983425048&quot;"/>
    <we:property name="JhgCFC6PuT4SPGpPRws/GFEkBDwcKDjVgC8RRis1GQcTExAEMiID" value="&quot;UTdSV3VMHHUF&quot;"/>
    <we:property name="JhgCFC6PuT4SPGpPRws/GFEkBDwcKDjVgC8RRis1GQcTExAaPz0D" value="&quot;VU1LQQ==&quot;"/>
    <we:property name="JhgCFC6PuT4SPGpPRws/GFEkBDwcKDjVgC8RRis1GQcTExAaMiID" value="&quot;UTZSV3VMHXUF&quot;"/>
    <we:property name="JhgCFC6PuT4SPGpPRws/GFEkBDwcKDjVgC8RRis1GQcTExAEMiIA" value="&quot;&quot;"/>
    <we:property name="JhgCFC6PuT4SPGpPRws/GFEkBDwcKDjVgC8RRis1GQcTExAaPz0A" value="&quot;VU1LQQ==&quot;"/>
    <we:property name="JhgCFC6PuT4SPGpPRws/GFEkBDwcKDjVgC8RRis1GQcTExAaMiIA" value="&quot;&quot;"/>
    <we:property name="JhgCFC6PuT4SPGpPRws/GFEkBDwcKDjVgC8RRis1GQcTExAEMiIB" value="&quot;&quot;"/>
    <we:property name="JhgCFC6PuT4SPGpPRws/GFEkBDwcKDjVgC8RRis1GQcTExAaPz0B" value="&quot;VU1LQQ==&quot;"/>
    <we:property name="JhgCFC6PuT4SPGpPRws/GFEkBDwcKDjVgC8RRis1GQcTExAaMiIB" value="&quot;&quot;"/>
    <we:property name="JhgCFC6PuT4SPANCSngKVU1LQR5IPjhEVXlDFDc2AxQEPioGPQ==" value="&quot;OSE=&quot;"/>
    <we:property name="JhgCFC6PuT4SPANCSngKVU1LQR5IPjhEVXlDKjkiOBgY" value="&quot;RA==&quot;"/>
    <we:property name="JhgCFC6PuT4SPANCSngKVU1LQR5IPjhEVXlDKDow" value="&quot;UTZSWA==&quot;"/>
    <we:property name="JhgCFC6PuT4SPANCSngKVU1LQR5IPjhEVXlDMTkoHBAUDSob" value="&quot;UTJSUH5SfhQWRHs=&quot;"/>
    <we:property name="JhgCFC6PuT4SPANCSngKVU1LQR5IPjhEVXlDMTkoHBAUDSobaw==" value="&quot;&quot;"/>
    <we:property name="JhgCFC6PuT4SPANCSngKVU1LQR5IPjhEVXlDFDc2AxQEPiEdNw==" value="&quot;Rg==&quot;"/>
    <we:property name="JhgCFC6PuT4SPANCSngKVU1LQR5IPjhEVXlDFDc2AxQEPiMAKWA=" value="&quot;UTJSUH4=&quot;"/>
    <we:property name="JhgCFC6PuT4SPANCSngKVU1LQR5IPjhEVXlDFDc2AxQEPj0NNmA=" value="&quot;VU1LQQ==&quot;"/>
    <we:property name="JhgCFC6PuT4SPANCSngKVU1LQR5IPjhEVXlDFDc2AxQEPj0AKWA=" value="&quot;UTVSU34=&quot;"/>
    <we:property name="JhgCFC6PuT4SPANCSngKVU1LQR5IPjhEVXlDFDc2AxQEPiMAKWM=" value="&quot;UTJSUH5SfhQWRHs=&quot;"/>
    <we:property name="JhgCFC6PuT4SPANCSngKVU1LQR5IPjhEVXlDFDc2AxQEPj0NNmM=" value="&quot;VU9LQQ==&quot;"/>
    <we:property name="JhgCFC6PuT4SPANCSngKVU1LQR5IPjhEVXlDFDc2AxQEPj0AKWM=" value="&quot;RQ==&quot;"/>
    <we:property name="JhgCFC6PuT4SPANCSngKVU1LQR5IPjhEVXlDFDc2AxQEPiMAKWI=" value="&quot;UTdSV3VMHHUF&quot;"/>
    <we:property name="JhgCFC6PuT4SPANCSngKVU1LQR5IPjhEVXlDFDc2AxQEPj0NNmI=" value="&quot;VU1LQQ==&quot;"/>
    <we:property name="JhgCFC6PuT4SPANCSngKVU1LQR5IPjhEVXlDFDc2AxQEPj0AKWI=" value="&quot;UTZSV3VMHXUF&quot;"/>
    <we:property name="JhgCFC6PuT4SPANCSngKVU1LQR5IPjhEVXlDFDc2AxQEPiMAKWU=" value="&quot;&quot;"/>
    <we:property name="JhgCFC6PuT4SPANCSngKVU1LQR5IPjhEVXlDFDc2AxQEPj0NNmU=" value="&quot;VU1LQQ==&quot;"/>
    <we:property name="JhgCFC6PuT4SPANCSngKVU1LQR5IPjhEVXlDFDc2AxQEPj0AKWU=" value="&quot;&quot;"/>
    <we:property name="JhgCFC6PuT4SPAMrR3V6JVFKXG8FPzVbFGIzS3gIXFA5AyU=" value="&quot;UTZSWA==&quot;"/>
    <we:property name="JhgCFC6PuT4SPAMrR3V6JVFKXG8FPzVbFGIzS3gIXFA7ADclMz8=" value="&quot;RA==&quot;"/>
    <we:property name="JhgCFC6PuT4SPAMrR3V6JVFKXG8FPzVbFGIzS3gIXFAgAD0BOzNeEDk=" value="&quot;UTJSUH5SfhQWRHs=&quot;"/>
    <we:property name="JhgCFC6PuT4SPAMrR3V6JVFKXG8FPzVbFGIzS3gIXFAgAD0BOzNeEDlT" value="&quot;&quot;"/>
    <we:property name="JhgCFC6PuT4SPAMrR3V6JVFKXG8FPzVbFGIzS3gIXFAgAD0BOzNeEDlQ" value="&quot;&quot;"/>
    <we:property name="JhgCFC6PuT4SPANCSngKVU1LQR5IPjhEVXlDFDc2AxQEPiMAKWQ=" value="&quot;&quot;"/>
    <we:property name="JhgCFC6PuT4SPANCSngKVU1LQR5IPjhEVXlDFDc2AxQEPj0NNmQ=" value="&quot;VU1LQQ==&quot;"/>
    <we:property name="JhgCFC6PuT4SPANCSngKVU1LQR5IPjhEVXlDFDc2AxQEPj0AKWQ=" value="&quot;&quot;"/>
    <we:property name="JhgCFC6PuT4SPANCSngKVU1LQR5IPjhEVXlDFDc2AxQEPiMAKWc=" value="&quot;&quot;"/>
    <we:property name="JhgCFC6PuT4SPANCSngKVU1LQR5IPjhEVXlDFDc2AxQEPj0NNmc=" value="&quot;VU1LQQ==&quot;"/>
    <we:property name="JhgCFC6PuT4SPANCSngKVU1LQR5IPjhEVXlDFDc2AxQEPj0AKWc=" value="&quot;&quot;"/>
    <we:property name="JhgCFC6PuT4SPAMrR3V6JVFKXG8FPzVbFGIzS3gIXFAFDiMePyNtECQF" value="&quot;OSE=&quot;"/>
    <we:property name="JhgCFC6PuT4SPAMrR3V6JVFKXG8FPzVbFGIzS3gIXFAFDiMePyNtGz8P" value="&quot;Rg==&quot;"/>
    <we:property name="JhgCFC6PuT4SPAMrR3V6JVFKXG8FPzVbFGIzS3gIXFAFDiMePyNtGSIRVg==" value="&quot;UTJSUH4=&quot;"/>
    <we:property name="JhgCFC6PuT4SPAMrR3V6JVFKXG8FPzVbFGIzS3gIXFAFDiMePyNtBy8OVg==" value="&quot;VU1LQQ==&quot;"/>
    <we:property name="JhgCFC6PuT4SPAMrR3V6JVFKXG8FPzVbFGIzS3gIXFAFDiMePyNtByIRVg==" value="&quot;UTVSU34=&quot;"/>
    <we:property name="JhgCFC6PuT4SPAMrR3V6JVFKXG8FPzVbFGIzS3gIXFAFDiMePyNtGSIRVQ==" value="&quot;UTdSV3VMHHUF&quot;"/>
    <we:property name="JhgCFC6PuT4SPAMrR3V6JVFKXG8FPzVbFGIzS3gIXFAFDiMePyNtBy8OVQ==" value="&quot;VU1LQQ==&quot;"/>
    <we:property name="JhgCFC6PuT4SPAMrR3V6JVFKXG8FPzVbFGIzS3gIXFAFDiMePyNtByIRVQ==" value="&quot;UTZSV3VMHXUF&quot;"/>
    <we:property name="JhgCFC6PuT4SPAMrR3V6JVFKXG8FPzVbFGIzS3gIXFAFDiMePyNtGSIRVA==" value="&quot;UTJSUH5SfhQWRHs=&quot;"/>
    <we:property name="JhgCFC6PuT4SPAMrR3V6JVFKXG8FPzVbFGIzS3gIXFAFDiMePyNtBy8OVA==" value="&quot;VU9LQQ==&quot;"/>
    <we:property name="JhgCFC6PuT4SPAMrR3V6JVFKXG8FPzVbFGIzS3gIXFAFDiMePyNtByIRVA==" value="&quot;RQ==&quot;"/>
    <we:property name="JhgCFC6PuT4SPAMrR3V6JVFKXG8FPzVbFGIzS3gIXFAFDiMePyNtGSIRUw==" value="&quot;&quot;"/>
    <we:property name="JhgCFC6PuT4SPAMrR3V6JVFKXG8FPzVbFGIzS3gIXFAFDiMePyNtBy8OUw==" value="&quot;VU1LQQ==&quot;"/>
    <we:property name="JhgCFC6PuT4SPAMrR3V6JVFKXG8FPzVbFGIzS3gIXFAFDiMePyNtByIRUw==" value="&quot;&quot;"/>
    <we:property name="JhgCFC6PuT4SPAMrR3V6JVFKXG8FPzVbFGIzS3gIXFAFDiMePyNtAysO" value="&quot;RQ==&quot;"/>
    <we:property name="JhgCFC6PuT4SPAMrR3V6JVFKXG8FPzVbFGIzS3gIXFAFDiMePyNtBTgH" value="&quot;RV9GUX9YamA=&quot;"/>
    <we:property name="JhgCFC6PuT4SPAMrR3V6JVFKXG8FPzVbFGIzS3gIXFAFDiMePyNtBikO" value="&quot;RA==&quot;"/>
    <we:property name="JhgCFC6PuT4SPAMrR3V6JVFKXG8FPzVbFGIzS3gIXFAFDiMePyNtByYa" value="&quot;RQ==&quot;"/>
    <we:property name="JhgCFC6PuT4SPAMrR3V6JVFKXG8FPzVbFGIzS3gIXFAFDiMePyNtASUO" value="&quot;RV9GUA==&quot;"/>
    <we:property name="JhgCFC6PuT4SPAMrR3V6JVFKXG8FPzVbFGIzS3gIXFAFDiMePyNtFjwF" value="&quot;RV9GUX9Z&quot;"/>
    <we:property name="JhgCFC6PuT4SPAMrR3V6JVFKXG8FPzVbFGIzS3gIXFAFDiMePyNtGDkO" value="&quot;RQ==&quot;"/>
    <we:property name="JhgCFC6PuT4SPAMrR3V6JVFKXG8FPzVbFGIzS3gIXFAFDiMePyNtBjkY" value="&quot;REFG&quot;"/>
    <we:property name="JhgCFC6PuT4SPAMrR3V6JVFKXG8FPzVbFGIzS3gIXFAFDiMePyNtBzkG" value="&quot;RQ==&quot;"/>
    <we:property name="JhgCFC6PuT4SPAMrR3V6JVFKXG8FPzVbFGIzS3gIXFAFDiMePyNtGDgW" value="&quot;RV9GVno=&quot;"/>
    <we:property name="JhgCFC6PuT4SPAMrR3V6JVFKXG8FPzVbFGIzS3gIXFAFDiMePyNtGCQL" value="&quot;RkE=&quot;"/>
    <we:property name="JhgCFC6PuT4SPAMrR3V6JVFKXG8FPzVbFGIzS3gIXFAFDiMePyNtBygU" value="&quot;RA==&quot;"/>
    <we:property name="JhgCFC6PuT4SPAMrR3V6JVFKXG8FPzVbFGIzS3gIXFAFDiMePyNtGy8F" value="&quot;RA==&quot;"/>
    <we:property name="JhgCFC6PuT4SPAMrR3V6JVFKXG8FPzVbFGIzS3gIXFAFDiMePyNtFCkB" value="&quot;RV9GUX4=&quot;"/>
    <we:property name="JhgCFC6PuT4SPAMrR3V6JVFKXG8FPzVbFGIzS3gIXFAFDiMePyNtBy8R" value="&quot;QA==&quot;"/>
    <we:property name="JhgCFC6PuT4SPAMrR3V6JVFKXG8FPzVbFGIzS3gIXFAFDiMePyNtFDgR" value="&quot;RA==&quot;"/>
    <we:property name="JhgCFC6PuT4SPAMrR3V6JVFKXG8FPzVbFGIzS3gIXFAFDiMePyNtBj4D" value="&quot;RQ==&quot;"/>
    <we:property name="JhgCFC6PuT4SPAMrR3V6JVFKXG8FPzVbFGIzS3gIXFAFDiMePyNtGC8W" value="&quot;RA==&quot;"/>
    <we:property name="JhgCFC6PuT4SPAMrR3V6JVFKXG8FPzVbFGIzS3gIXFAFDiMePyNtBiUB" value="&quot;RQ==&quot;"/>
    <we:property name="JhgCFC6PuT4SPAMrR3V6JVFKXG8FPzVbFGIzS3gIXFAFDiMePyNtGToW" value="&quot;RQ==&quot;"/>
    <we:property name="JhgCFC6PuT4SPAMrR3V6JVFKXG8FPzVbFGIzS3gIXFAFDiMePyNtGToS" value="&quot;RQ==&quot;"/>
    <we:property name="JhgCFC6PuT4SPAMrR3V6JVFKXG8FPzVbFGIzS3gIXFAFDiMePyNtEisS" value="&quot;RV9GUX9YamA=&quot;"/>
    <we:property name="JhgCFC6PuT4SPAMrR3V6JVFKXG8FPzVbFGIzS3gIXFAFDiMePyNtHDoR" value="&quot;RV9PWA==&quot;"/>
    <we:property name="JhgCFC6PuT4SPAMrR3V6JVFKXG8FPzVbFGIzS3gIXFAFDiMePyNtEy8D" value="&quot;RV9GUX9YamA=&quot;"/>
    <we:property name="JhgCFC6PuT4SPAMrR3V6JVFKXG8FPzVbFGIzS3gIXFAFDiMePyNtHDoL" value="&quot;RA==&quot;"/>
    <we:property name="JhgCFC6PuT4SPAMrR3V6JVFKXG8FPzVbFGIzS3gIXFAFDiMePyNtHDoG" value="&quot;Rg==&quot;"/>
    <we:property name="JhgCFC6PuT4SPAMrR3V6JVFKXG8FPzVbFGIzS3gIXFAFDiMePyNtGSIRUg==" value="&quot;&quot;"/>
    <we:property name="JhgCFC6PuT4SPAMrR3V6JVFKXG8FPzVbFGIzS3gIXFAFDiMePyNtBy8OUg==" value="&quot;VU1LQQ==&quot;"/>
    <we:property name="JhgCFC6PuT4SPAMrR3V6JVFKXG8FPzVbFGIzS3gIXFAFDiMePyNtByIRUg==" value="&quot;&quot;"/>
    <we:property name="JhgCFC6PuT4SPAMrR3V6JVFKXG8FPzVbFGIzS3gIXFAFDiMePyNtGSIRUQ==" value="&quot;&quot;"/>
    <we:property name="JhgCFC6PuT4SPAMrR3V6JVFKXG8FPzVbFGIzS3gIXFAFDiMePyNtBy8OUQ==" value="&quot;VU1LQQ==&quot;"/>
    <we:property name="JhgCFC6PuT4SPAMrR3V6JVFKXG8FPzVbFGIzS3gIXFAFDiMePyNtByIRUQ==" value="&quot;&quot;"/>
    <we:property name="JhgCFC6PuT4SPAMrR3V6JVFKXG8FPzVbFGIzS3gIXFAFDiMePyNtGSIRUA==" value="&quot;&quot;"/>
    <we:property name="JhgCFC6PuT4SPAMrR3V6JVFKXG8FPzVbFGIzS3gIXFAFDiMePyNtBy8OUA==" value="&quot;VU1LQQ==&quot;"/>
    <we:property name="JhgCFC6PuT4SPAMrR3V6JVFKXG8FPzVbFGIzS3gIXFAFDiMePyNtByIRUA==" value="&quot;&quot;"/>
    <we:property name="JhgCFC6PuT4SPAMrR3V6JVFKXG8FPzVbFGIzS3gIXFAgAD0BOzNeEDlR" value="&quot;&quot;"/>
    <we:property name="JhgCFC6PuT4SPANCSngKVU1LQR5IPjhEVXlCT2pzVAIZDTkNKA5XGy0=" value="&quot;MiMx&quot;"/>
    <we:property name="JhgCFC6PuT4SPANCSngKVU1LQR5IPjhEVXlCT2pzVDwXGQIBNA==" value="&quot;RA==&quot;"/>
    <we:property name="JhgCFC6PuT4SPANCSngKVU1LQR5IPjhEVXlCT2pzVD4UCw==" value="&quot;&quot;"/>
    <we:property name="JhgCFC6PuT4SPANCSngKVU1LQR5IPjhEVXlCT2pzVAIZDTkNKA5cEC0=" value="&quot;RA==&quot;"/>
    <we:property name="JhgCFC6PuT4SPANCSngKVU1LQR5IPjhEVXlCT2pzVAIZDTkNKA5CBy8=" value="&quot;RV9GUX9YamA=&quot;"/>
    <we:property name="JhgCFC6PuT4SPANCSngKVU1LQR5IPjhEVXlCT2pzVAIZDTkNKA5BFiY=" value="&quot;RA==&quot;"/>
    <we:property name="JhgCFC6PuT4SPANCSngKVU1LQR5IPjhEVXlCT2pzVAIZDTkNKA5AGTI=" value="&quot;RQ==&quot;"/>
    <we:property name="JhgCFC6PuT4SPANCSngKVU1LQR5IPjhEVXlCT2pzVAIZDTkNKA5GGiY=" value="&quot;RV9GUA==&quot;"/>
    <we:property name="JhgCFC6PuT4SPANCSngKVU1LQR5IPjhEVXlCT2pzVAIZDTkNKA5RAy0=" value="&quot;RV9GUX9Z&quot;"/>
    <we:property name="JhgCFC6PuT4SPANCSngKVU1LQR5IPjhEVXlCT2pzVAIZDTkNKA5fBiY=" value="&quot;RQ==&quot;"/>
    <we:property name="JhgCFC6PuT4SPANCSngKVU1LQR5IPjhEVXlCT2pzVAIZDTkNKA5BBjA=" value="&quot;REFG&quot;"/>
    <we:property name="JhgCFC6PuT4SPANCSngKVU1LQR5IPjhEVXlCT2pzVAIZDTkNKA5ABi4=" value="&quot;RQ==&quot;"/>
    <we:property name="JhgCFC6PuT4SPANCSngKVU1LQR5IPjhEVXlCT2pzVAIZDTkNKA5fBz4=" value="&quot;RV9GVno=&quot;"/>
    <we:property name="JhgCFC6PuT4SPANCSngKVU1LQR5IPjhEVXlCT2pzVAIZDTkNKA5fGyM=" value="&quot;RkE=&quot;"/>
    <we:property name="JhgCFC6PuT4SPANCSngKVU1LQR5IPjhEVXlCT2pzVAIZDTkNKA5AFzw=" value="&quot;RA==&quot;"/>
    <we:property name="JhgCFC6PuT4SPANCSngKVU1LQR5IPjhEVXlCT2pzVAIZDTkNKA5cATg=" value="&quot;Rw==&quot;"/>
    <we:property name="JhgCFC6PuT4SPANCSngKVU1LQR5IPjhEVXlCT2pzVAIZDTkNKA5TFik=" value="&quot;RV9GUX4=&quot;"/>
    <we:property name="JhgCFC6PuT4SPANCSngKVU1LQR5IPjhEVXlCT2pzVAIZDTkNKA5AEDk=" value="&quot;QA==&quot;"/>
    <we:property name="JhgCFC6PuT4SPANCSngKVU1LQR5IPjhEVXlCT2pzVAIZDTkNKA5TBzk=" value="&quot;RA==&quot;"/>
    <we:property name="JhgCFC6PuT4SPANCSngKVU1LQR5IPjhEVXlCT2pzVAIZDTkNKA5BASs=" value="&quot;RQ==&quot;"/>
    <we:property name="JhgCFC6PuT4SPANCSngKVU1LQR5IPjhEVXlCT2pzVAIZDTkNKA5fED4=" value="&quot;Rw==&quot;"/>
    <we:property name="JhgCFC6PuT4SPANCSngKVU1LQR5IPjhEVXlCT2pzVAIZDTkNKA5BGik=" value="&quot;RQ==&quot;"/>
    <we:property name="JhgCFC6PuT4SPANCSngKVU1LQR5IPjhEVXlCT2pzVAIZDTkNKA5eBT4=" value="&quot;RQ==&quot;"/>
    <we:property name="JhgCFC6PuT4SPANCSngKVU1LQR5IPjhEVXlCT2pzVAIZDTkNKA5eBTo=" value="&quot;RQ==&quot;"/>
    <we:property name="JhgCFC6PuT4SPANCSngKVU1LQR5IPjhEVXlCT2pzVAIZDTkNKA5VFDo=" value="&quot;RV9GUX9YamA=&quot;"/>
    <we:property name="JhgCFC6PuT4SPANCSngKVU1LQR5IPjhEVXlCT2pzVAIZDTkNKA5bBTk=" value="&quot;RV9PWA==&quot;"/>
    <we:property name="JhgCFC6PuT4SPANCSngKVU1LQR5IPjhEVXlCT2pzVAIZDTkNKA5UECs=" value="&quot;RV9GUX9YamA=&quot;"/>
    <we:property name="JhgCFC6PuT4SPANCSngKVU1LQR5IPjhEVXlCT2pzVAIZDTkNKA5bBSM=" value="&quot;RA==&quot;"/>
    <we:property name="JhgCFC6PuT4SPANCSngKVU1LQR5IPjhEVXlCT2pzVAIZDTkNKA5bBS4=" value="&quot;Rg==&quot;"/>
    <we:property name="JhgCFC6PuT4SPAMrR3V6JVFKXG8FPzVbFGIzS3gIXFAFDiMePyNtGSIRXw==" value="&quot;&quot;"/>
    <we:property name="JhgCFC6PuT4SPAMrR3V6JVFKXG8FPzVbFGIzS3gIXFAFDiMePyNtBy8OXw==" value="&quot;VU1LQQ==&quot;"/>
    <we:property name="JhgCFC6PuT4SPAMrR3V6JVFKXG8FPzVbFGIzS3gIXFAFDiMePyNtByIRXw==" value="&quot;&quot;"/>
  </we:properties>
  <we:bindings>
    <we:binding id="Var$F$14" type="matrix" appref="{9CC2EB63-0CCB-43D8-A85D-FC32B9FED1BE}"/>
    <we:binding id="Var$F$15" type="matrix" appref="{C8CF06A8-68DA-4156-885C-D6C0B11D0FC6}"/>
    <we:binding id="Var$F$16" type="matrix" appref="{706BC3EE-CD34-465D-95CC-5F0870AC0A82}"/>
    <we:binding id="1Var0" type="matrix" appref="{958E9B2E-63D4-4576-93F2-2ACEC188838C}"/>
    <we:binding id="2Var0" type="matrix" appref="{D21254C8-762F-4572-A02A-08BAE276FF73}"/>
    <we:binding id="Var0" type="matrix" appref="{4FC19B42-5D70-4B32-ADE2-2F6619836AF8}"/>
    <we:binding id="Var$D$9:$F$9" type="matrix" appref="{84A28921-B2BB-4B6F-84E8-F670E2E84C1F}"/>
    <we:binding id="Var$F$14:$F$16" type="matrix" appref="{40EE0A53-9779-4D87-93FD-D4AC25448743}"/>
    <we:binding id="Var$C$11:$E$11" type="matrix" appref="{9B54CB13-998A-4CED-9B15-A10DD9D7025E}"/>
    <we:binding id="Situação II - P &lt;= Q div 3 (2)refEdit" type="matrix" appref="{111E8A66-9098-436F-A922-631B4743C135}"/>
    <we:binding id="Situação II - P &lt;= Q div 3 (2)Worker" type="matrix" appref="{DB802569-D7E8-4EC5-843D-D5D9F689EBC9}"/>
    <we:binding id="refEdit" type="matrix" appref="{2B010FD1-FA99-4865-BAD2-27BD17575F5C}"/>
    <we:binding id="Worker" type="matrix" appref="{51F62EAA-EF6F-4909-9BA7-CF841F8BD971}"/>
    <we:binding id="Obj" type="matrix" appref="{4663B0BC-A81F-49AE-A0DB-2BD39BE06F47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workbookViewId="0">
      <selection activeCell="A5" sqref="A5"/>
    </sheetView>
  </sheetViews>
  <sheetFormatPr defaultRowHeight="15" x14ac:dyDescent="0.25"/>
  <cols>
    <col min="1" max="1" width="174.42578125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6" spans="1:1" x14ac:dyDescent="0.25">
      <c r="A6" s="1" t="s">
        <v>4</v>
      </c>
    </row>
    <row r="7" spans="1:1" x14ac:dyDescent="0.25">
      <c r="A7" s="3" t="s">
        <v>5</v>
      </c>
    </row>
    <row r="8" spans="1:1" x14ac:dyDescent="0.25">
      <c r="A8" s="3" t="s">
        <v>6</v>
      </c>
    </row>
    <row r="9" spans="1:1" ht="30" x14ac:dyDescent="0.25">
      <c r="A9" s="3" t="s">
        <v>7</v>
      </c>
    </row>
    <row r="10" spans="1:1" ht="30" x14ac:dyDescent="0.25">
      <c r="A10" s="3" t="s">
        <v>8</v>
      </c>
    </row>
  </sheetData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4FC19B42-5D70-4B32-ADE2-2F6619836AF8}">
          <xm:f>#REF!</xm:f>
        </x15:webExtension>
        <x15:webExtension appRef="{84A28921-B2BB-4B6F-84E8-F670E2E84C1F}">
          <xm:f>#REF!</xm:f>
        </x15:webExtension>
        <x15:webExtension appRef="{111E8A66-9098-436F-A922-631B4743C135}">
          <xm:f>#REF!</xm:f>
        </x15:webExtension>
        <x15:webExtension appRef="{DB802569-D7E8-4EC5-843D-D5D9F689EBC9}">
          <xm:f>#REF!</xm:f>
        </x15:webExtension>
        <x15:webExtension appRef="{9CC2EB63-0CCB-43D8-A85D-FC32B9FED1BE}">
          <xm:f>#REF!</xm:f>
        </x15:webExtension>
        <x15:webExtension appRef="{C8CF06A8-68DA-4156-885C-D6C0B11D0FC6}">
          <xm:f>#REF!</xm:f>
        </x15:webExtension>
        <x15:webExtension appRef="{706BC3EE-CD34-465D-95CC-5F0870AC0A82}">
          <xm:f>#REF!</xm:f>
        </x15:webExtension>
        <x15:webExtension appRef="{958E9B2E-63D4-4576-93F2-2ACEC188838C}">
          <xm:f>#REF!</xm:f>
        </x15:webExtension>
        <x15:webExtension appRef="{D21254C8-762F-4572-A02A-08BAE276FF73}">
          <xm:f>#REF!</xm:f>
        </x15:webExtension>
        <x15:webExtension appRef="{40EE0A53-9779-4D87-93FD-D4AC25448743}">
          <xm:f>#REF!</xm:f>
        </x15:webExtension>
        <x15:webExtension appRef="{9B54CB13-998A-4CED-9B15-A10DD9D7025E}">
          <xm:f>#REF!</xm:f>
        </x15:webExtension>
        <x15:webExtension appRef="{2B010FD1-FA99-4865-BAD2-27BD17575F5C}">
          <xm:f>#REF!</xm:f>
        </x15:webExtension>
        <x15:webExtension appRef="{51F62EAA-EF6F-4909-9BA7-CF841F8BD971}">
          <xm:f>#REF!</xm:f>
        </x15:webExtension>
        <x15:webExtension appRef="{4663B0BC-A81F-49AE-A0DB-2BD39BE06F47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07723-EC2D-4934-97D3-53388F7C676B}">
  <dimension ref="B2:F27"/>
  <sheetViews>
    <sheetView workbookViewId="0"/>
  </sheetViews>
  <sheetFormatPr defaultRowHeight="15" x14ac:dyDescent="0.25"/>
  <cols>
    <col min="2" max="2" width="34.7109375" bestFit="1" customWidth="1"/>
    <col min="3" max="3" width="27.7109375" bestFit="1" customWidth="1"/>
    <col min="4" max="4" width="30" customWidth="1"/>
    <col min="5" max="5" width="28.42578125" bestFit="1" customWidth="1"/>
    <col min="6" max="6" width="6.140625" bestFit="1" customWidth="1"/>
    <col min="7" max="7" width="9.5703125" bestFit="1" customWidth="1"/>
    <col min="8" max="8" width="15" bestFit="1" customWidth="1"/>
  </cols>
  <sheetData>
    <row r="2" spans="2:5" x14ac:dyDescent="0.25">
      <c r="B2" s="8" t="s">
        <v>9</v>
      </c>
      <c r="C2" s="7" t="s">
        <v>10</v>
      </c>
      <c r="D2" s="26" t="s">
        <v>10</v>
      </c>
    </row>
    <row r="3" spans="2:5" ht="3" customHeight="1" x14ac:dyDescent="0.25">
      <c r="B3" s="4"/>
      <c r="C3" s="4"/>
      <c r="D3" s="4"/>
    </row>
    <row r="4" spans="2:5" x14ac:dyDescent="0.25">
      <c r="B4" s="4"/>
      <c r="C4" s="5" t="s">
        <v>11</v>
      </c>
      <c r="D4" s="6" t="s">
        <v>12</v>
      </c>
    </row>
    <row r="5" spans="2:5" ht="3" customHeight="1" x14ac:dyDescent="0.25">
      <c r="B5" s="2"/>
      <c r="C5" s="2"/>
      <c r="D5" s="2"/>
    </row>
    <row r="6" spans="2:5" x14ac:dyDescent="0.25">
      <c r="B6" s="2"/>
      <c r="C6" s="9" t="s">
        <v>13</v>
      </c>
      <c r="D6" s="2"/>
    </row>
    <row r="7" spans="2:5" ht="3" customHeight="1" x14ac:dyDescent="0.25"/>
    <row r="8" spans="2:5" x14ac:dyDescent="0.25">
      <c r="B8" t="s">
        <v>14</v>
      </c>
      <c r="C8" t="s">
        <v>19</v>
      </c>
      <c r="D8" s="10">
        <v>16</v>
      </c>
      <c r="E8" t="s">
        <v>31</v>
      </c>
    </row>
    <row r="9" spans="2:5" x14ac:dyDescent="0.25">
      <c r="B9" t="s">
        <v>15</v>
      </c>
      <c r="C9" s="11">
        <v>80000</v>
      </c>
      <c r="D9" s="10">
        <v>90</v>
      </c>
      <c r="E9" t="s">
        <v>49</v>
      </c>
    </row>
    <row r="10" spans="2:5" x14ac:dyDescent="0.25">
      <c r="B10" t="s">
        <v>16</v>
      </c>
      <c r="C10" s="11">
        <v>20000</v>
      </c>
      <c r="D10" s="10">
        <v>4.5</v>
      </c>
      <c r="E10" t="s">
        <v>29</v>
      </c>
    </row>
    <row r="11" spans="2:5" x14ac:dyDescent="0.25">
      <c r="B11" t="s">
        <v>17</v>
      </c>
      <c r="C11" s="11">
        <v>32000</v>
      </c>
      <c r="D11" t="s">
        <v>19</v>
      </c>
    </row>
    <row r="12" spans="2:5" x14ac:dyDescent="0.25">
      <c r="B12" t="s">
        <v>18</v>
      </c>
      <c r="C12" s="11">
        <v>60000</v>
      </c>
      <c r="D12" t="s">
        <v>19</v>
      </c>
    </row>
    <row r="15" spans="2:5" x14ac:dyDescent="0.25">
      <c r="B15" s="6" t="s">
        <v>25</v>
      </c>
      <c r="C15" s="13" t="s">
        <v>26</v>
      </c>
      <c r="D15" s="13" t="s">
        <v>27</v>
      </c>
      <c r="E15" s="14" t="s">
        <v>28</v>
      </c>
    </row>
    <row r="16" spans="2:5" ht="3" customHeight="1" x14ac:dyDescent="0.25">
      <c r="B16" s="15"/>
      <c r="C16" s="4"/>
      <c r="D16" s="4"/>
      <c r="E16" s="16"/>
    </row>
    <row r="17" spans="2:6" ht="15" customHeight="1" x14ac:dyDescent="0.25">
      <c r="B17" s="17" t="s">
        <v>9</v>
      </c>
      <c r="C17" s="18" t="s">
        <v>32</v>
      </c>
      <c r="D17" s="18" t="s">
        <v>33</v>
      </c>
      <c r="E17" s="19" t="s">
        <v>34</v>
      </c>
    </row>
    <row r="18" spans="2:6" x14ac:dyDescent="0.25">
      <c r="B18" t="s">
        <v>14</v>
      </c>
      <c r="C18">
        <v>27</v>
      </c>
      <c r="D18">
        <v>12</v>
      </c>
      <c r="E18" t="s">
        <v>19</v>
      </c>
      <c r="F18" t="s">
        <v>31</v>
      </c>
    </row>
    <row r="19" spans="2:6" x14ac:dyDescent="0.25">
      <c r="B19" t="s">
        <v>15</v>
      </c>
      <c r="C19">
        <v>1.5</v>
      </c>
      <c r="D19">
        <f>36/60</f>
        <v>0.6</v>
      </c>
      <c r="E19">
        <f>48/60</f>
        <v>0.8</v>
      </c>
      <c r="F19" t="s">
        <v>30</v>
      </c>
    </row>
    <row r="20" spans="2:6" x14ac:dyDescent="0.25">
      <c r="B20" t="s">
        <v>16</v>
      </c>
      <c r="C20" s="12">
        <v>45</v>
      </c>
      <c r="D20" s="12">
        <v>30</v>
      </c>
      <c r="E20" s="12">
        <v>120</v>
      </c>
      <c r="F20" t="s">
        <v>29</v>
      </c>
    </row>
    <row r="22" spans="2:6" x14ac:dyDescent="0.25">
      <c r="B22" t="s">
        <v>20</v>
      </c>
      <c r="C22">
        <v>800</v>
      </c>
      <c r="D22" t="s">
        <v>21</v>
      </c>
    </row>
    <row r="23" spans="2:6" x14ac:dyDescent="0.25">
      <c r="C23" t="s">
        <v>23</v>
      </c>
      <c r="D23" t="s">
        <v>24</v>
      </c>
    </row>
    <row r="24" spans="2:6" x14ac:dyDescent="0.25">
      <c r="B24" t="s">
        <v>22</v>
      </c>
      <c r="C24">
        <v>4</v>
      </c>
      <c r="D24">
        <v>6</v>
      </c>
    </row>
    <row r="26" spans="2:6" x14ac:dyDescent="0.25">
      <c r="B26" t="s">
        <v>35</v>
      </c>
      <c r="C26" s="12">
        <v>272000</v>
      </c>
      <c r="D26" t="s">
        <v>36</v>
      </c>
    </row>
    <row r="27" spans="2:6" x14ac:dyDescent="0.25">
      <c r="C27">
        <v>76000</v>
      </c>
      <c r="D27" t="s">
        <v>37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92ED7-22EC-44F0-9820-AE611F649C3D}">
  <dimension ref="B2:J37"/>
  <sheetViews>
    <sheetView tabSelected="1" workbookViewId="0">
      <selection activeCell="I36" sqref="I36"/>
    </sheetView>
  </sheetViews>
  <sheetFormatPr defaultRowHeight="15" x14ac:dyDescent="0.25"/>
  <cols>
    <col min="1" max="1" width="4.7109375" customWidth="1"/>
    <col min="2" max="2" width="34.7109375" bestFit="1" customWidth="1"/>
    <col min="3" max="4" width="27.7109375" bestFit="1" customWidth="1"/>
    <col min="5" max="5" width="28.42578125" bestFit="1" customWidth="1"/>
    <col min="6" max="6" width="24.42578125" bestFit="1" customWidth="1"/>
    <col min="7" max="8" width="24.28515625" bestFit="1" customWidth="1"/>
    <col min="9" max="9" width="17.7109375" bestFit="1" customWidth="1"/>
    <col min="10" max="10" width="20.42578125" bestFit="1" customWidth="1"/>
  </cols>
  <sheetData>
    <row r="2" spans="2:7" x14ac:dyDescent="0.25">
      <c r="B2" s="6" t="s">
        <v>25</v>
      </c>
      <c r="C2" s="13" t="s">
        <v>26</v>
      </c>
      <c r="D2" s="13" t="s">
        <v>27</v>
      </c>
      <c r="E2" s="14" t="s">
        <v>28</v>
      </c>
    </row>
    <row r="3" spans="2:7" ht="3" customHeight="1" x14ac:dyDescent="0.25">
      <c r="B3" s="15"/>
      <c r="C3" s="4"/>
      <c r="D3" s="4"/>
      <c r="E3" s="16"/>
    </row>
    <row r="4" spans="2:7" ht="15" customHeight="1" x14ac:dyDescent="0.25">
      <c r="B4" s="17" t="s">
        <v>9</v>
      </c>
      <c r="C4" s="18" t="s">
        <v>39</v>
      </c>
      <c r="D4" s="18" t="s">
        <v>40</v>
      </c>
      <c r="E4" s="19" t="s">
        <v>41</v>
      </c>
    </row>
    <row r="5" spans="2:7" x14ac:dyDescent="0.25">
      <c r="B5" t="s">
        <v>14</v>
      </c>
      <c r="C5">
        <f>'Problema 1 (enunciado)'!C18/9</f>
        <v>3</v>
      </c>
      <c r="D5">
        <f>'Problema 1 (enunciado)'!D18/6</f>
        <v>2</v>
      </c>
      <c r="E5">
        <v>0</v>
      </c>
      <c r="F5" t="s">
        <v>50</v>
      </c>
      <c r="G5">
        <f>C5+D5+E5</f>
        <v>5</v>
      </c>
    </row>
    <row r="6" spans="2:7" x14ac:dyDescent="0.25">
      <c r="B6" t="s">
        <v>15</v>
      </c>
      <c r="C6" s="20">
        <f>'Problema 1 (enunciado)'!C19/9</f>
        <v>0.16666666666666666</v>
      </c>
      <c r="D6">
        <f>'Problema 1 (enunciado)'!D19/6</f>
        <v>9.9999999999999992E-2</v>
      </c>
      <c r="E6" s="20">
        <f>'Problema 1 (enunciado)'!E19/12</f>
        <v>6.6666666666666666E-2</v>
      </c>
      <c r="F6" t="s">
        <v>51</v>
      </c>
      <c r="G6" s="20">
        <f>C6+D6+E6</f>
        <v>0.33333333333333331</v>
      </c>
    </row>
    <row r="7" spans="2:7" x14ac:dyDescent="0.25">
      <c r="B7" t="s">
        <v>16</v>
      </c>
      <c r="C7" s="12">
        <f>'Problema 1 (enunciado)'!C20/9</f>
        <v>5</v>
      </c>
      <c r="D7" s="12">
        <f>'Problema 1 (enunciado)'!D20/6</f>
        <v>5</v>
      </c>
      <c r="E7" s="12">
        <f>'Problema 1 (enunciado)'!E20/12</f>
        <v>10</v>
      </c>
      <c r="F7" t="s">
        <v>52</v>
      </c>
      <c r="G7" s="12">
        <f>C7+D7+E7</f>
        <v>20</v>
      </c>
    </row>
    <row r="10" spans="2:7" x14ac:dyDescent="0.25">
      <c r="B10" t="s">
        <v>42</v>
      </c>
      <c r="C10">
        <f>1/G6</f>
        <v>3</v>
      </c>
    </row>
    <row r="11" spans="2:7" x14ac:dyDescent="0.25">
      <c r="B11" t="s">
        <v>20</v>
      </c>
      <c r="C11">
        <f>'Problema 1 (enunciado)'!C22</f>
        <v>800</v>
      </c>
      <c r="D11" t="s">
        <v>38</v>
      </c>
    </row>
    <row r="12" spans="2:7" x14ac:dyDescent="0.25">
      <c r="B12" t="s">
        <v>43</v>
      </c>
      <c r="C12">
        <f>C10*C11</f>
        <v>2400</v>
      </c>
    </row>
    <row r="13" spans="2:7" x14ac:dyDescent="0.25">
      <c r="C13" s="21" t="s">
        <v>23</v>
      </c>
      <c r="D13" s="21" t="s">
        <v>24</v>
      </c>
    </row>
    <row r="14" spans="2:7" x14ac:dyDescent="0.25">
      <c r="B14" t="s">
        <v>22</v>
      </c>
      <c r="C14" s="21">
        <v>4</v>
      </c>
      <c r="D14" s="21">
        <v>6</v>
      </c>
    </row>
    <row r="16" spans="2:7" x14ac:dyDescent="0.25">
      <c r="B16" t="s">
        <v>35</v>
      </c>
      <c r="C16" s="12">
        <v>272000</v>
      </c>
      <c r="D16" t="s">
        <v>36</v>
      </c>
    </row>
    <row r="17" spans="2:10" x14ac:dyDescent="0.25">
      <c r="C17">
        <v>76000</v>
      </c>
      <c r="D17" t="s">
        <v>37</v>
      </c>
    </row>
    <row r="19" spans="2:10" x14ac:dyDescent="0.25">
      <c r="B19" s="8" t="s">
        <v>9</v>
      </c>
      <c r="C19" s="7" t="s">
        <v>10</v>
      </c>
      <c r="D19" s="5" t="s">
        <v>10</v>
      </c>
      <c r="E19" s="7" t="s">
        <v>46</v>
      </c>
      <c r="F19" s="5" t="s">
        <v>46</v>
      </c>
      <c r="G19" s="7" t="s">
        <v>47</v>
      </c>
      <c r="H19" s="5" t="s">
        <v>47</v>
      </c>
    </row>
    <row r="20" spans="2:10" x14ac:dyDescent="0.25">
      <c r="B20" s="4"/>
      <c r="C20" s="4"/>
      <c r="D20" s="4"/>
      <c r="E20" s="4"/>
      <c r="F20" s="4"/>
      <c r="G20" s="4"/>
      <c r="H20" s="4"/>
    </row>
    <row r="21" spans="2:10" x14ac:dyDescent="0.25">
      <c r="B21" s="4"/>
      <c r="C21" s="5" t="s">
        <v>11</v>
      </c>
      <c r="D21" s="5" t="s">
        <v>44</v>
      </c>
      <c r="E21" s="5" t="s">
        <v>11</v>
      </c>
      <c r="F21" s="5" t="s">
        <v>44</v>
      </c>
      <c r="G21" s="5" t="s">
        <v>11</v>
      </c>
      <c r="H21" s="5" t="s">
        <v>44</v>
      </c>
    </row>
    <row r="22" spans="2:10" x14ac:dyDescent="0.25">
      <c r="B22" s="2"/>
      <c r="C22" s="2"/>
      <c r="D22" s="2"/>
      <c r="E22" s="2"/>
      <c r="F22" s="2"/>
      <c r="G22" s="2"/>
      <c r="H22" s="2"/>
    </row>
    <row r="23" spans="2:10" x14ac:dyDescent="0.25">
      <c r="B23" s="2"/>
      <c r="C23" s="9" t="s">
        <v>13</v>
      </c>
      <c r="D23" s="9" t="s">
        <v>45</v>
      </c>
      <c r="E23" s="9" t="s">
        <v>13</v>
      </c>
      <c r="F23" s="9" t="s">
        <v>45</v>
      </c>
      <c r="G23" s="9" t="s">
        <v>13</v>
      </c>
      <c r="H23" s="9" t="s">
        <v>45</v>
      </c>
    </row>
    <row r="25" spans="2:10" x14ac:dyDescent="0.25">
      <c r="B25" s="23" t="s">
        <v>14</v>
      </c>
      <c r="C25" s="9" t="str">
        <f>'Problema 1 (enunciado)'!C8</f>
        <v>-</v>
      </c>
      <c r="D25" s="24">
        <f>'Problema 1 (enunciado)'!D8*'Problema 1'!G5</f>
        <v>80</v>
      </c>
      <c r="E25" s="9" t="s">
        <v>19</v>
      </c>
      <c r="F25" s="28">
        <f>D25</f>
        <v>80</v>
      </c>
      <c r="G25" s="22"/>
      <c r="H25" s="28">
        <f>D25</f>
        <v>80</v>
      </c>
    </row>
    <row r="26" spans="2:10" x14ac:dyDescent="0.25">
      <c r="B26" s="23" t="s">
        <v>15</v>
      </c>
      <c r="C26" s="25">
        <f>'Problema 1 (enunciado)'!C9</f>
        <v>80000</v>
      </c>
      <c r="D26" s="24">
        <f>'Problema 1 (enunciado)'!D9*'Problema 1'!G6</f>
        <v>30</v>
      </c>
      <c r="E26" s="22">
        <f>C26*1.2</f>
        <v>96000</v>
      </c>
      <c r="F26" s="28">
        <f t="shared" ref="F26:F29" si="0">D26</f>
        <v>30</v>
      </c>
      <c r="G26" s="25">
        <f>C26*1.5</f>
        <v>120000</v>
      </c>
      <c r="H26" s="28">
        <f t="shared" ref="H26:H29" si="1">D26</f>
        <v>30</v>
      </c>
    </row>
    <row r="27" spans="2:10" x14ac:dyDescent="0.25">
      <c r="B27" s="23" t="s">
        <v>16</v>
      </c>
      <c r="C27" s="25">
        <f>'Problema 1 (enunciado)'!C10</f>
        <v>20000</v>
      </c>
      <c r="D27" s="24">
        <f>'Problema 1 (enunciado)'!D10*'Problema 1'!G7</f>
        <v>90</v>
      </c>
      <c r="E27" s="9" t="s">
        <v>19</v>
      </c>
      <c r="F27" s="28">
        <f t="shared" si="0"/>
        <v>90</v>
      </c>
      <c r="G27" s="27" t="s">
        <v>19</v>
      </c>
      <c r="H27" s="28">
        <f t="shared" si="1"/>
        <v>90</v>
      </c>
    </row>
    <row r="28" spans="2:10" x14ac:dyDescent="0.25">
      <c r="B28" s="23" t="s">
        <v>17</v>
      </c>
      <c r="C28" s="25">
        <f>'Problema 1 (enunciado)'!C11</f>
        <v>32000</v>
      </c>
      <c r="D28" s="9" t="s">
        <v>19</v>
      </c>
      <c r="E28" s="9" t="s">
        <v>19</v>
      </c>
      <c r="F28" s="28" t="str">
        <f t="shared" si="0"/>
        <v>-</v>
      </c>
      <c r="G28" s="25">
        <v>24000</v>
      </c>
      <c r="H28" s="28" t="str">
        <f t="shared" si="1"/>
        <v>-</v>
      </c>
    </row>
    <row r="29" spans="2:10" x14ac:dyDescent="0.25">
      <c r="B29" s="23" t="s">
        <v>18</v>
      </c>
      <c r="C29" s="25">
        <f>'Problema 1 (enunciado)'!C12</f>
        <v>60000</v>
      </c>
      <c r="D29" s="9" t="s">
        <v>19</v>
      </c>
      <c r="E29" s="9" t="s">
        <v>19</v>
      </c>
      <c r="F29" s="28" t="str">
        <f t="shared" si="0"/>
        <v>-</v>
      </c>
      <c r="G29" s="27" t="s">
        <v>19</v>
      </c>
      <c r="H29" s="28" t="str">
        <f t="shared" si="1"/>
        <v>-</v>
      </c>
    </row>
    <row r="31" spans="2:10" x14ac:dyDescent="0.25">
      <c r="B31" s="4" t="s">
        <v>48</v>
      </c>
      <c r="C31" s="10">
        <f>SUM(C25:C29)</f>
        <v>192000</v>
      </c>
      <c r="D31" s="10">
        <f t="shared" ref="D31:H31" si="2">SUM(D25:D29)</f>
        <v>200</v>
      </c>
      <c r="E31" s="10">
        <f t="shared" si="2"/>
        <v>96000</v>
      </c>
      <c r="F31" s="10">
        <f t="shared" si="2"/>
        <v>200</v>
      </c>
      <c r="G31" s="10">
        <f t="shared" si="2"/>
        <v>144000</v>
      </c>
      <c r="H31" s="10">
        <f t="shared" si="2"/>
        <v>200</v>
      </c>
    </row>
    <row r="32" spans="2:10" x14ac:dyDescent="0.25">
      <c r="I32" s="1" t="s">
        <v>56</v>
      </c>
      <c r="J32" s="1" t="s">
        <v>57</v>
      </c>
    </row>
    <row r="33" spans="2:10" ht="30" x14ac:dyDescent="0.25">
      <c r="B33" s="29" t="s">
        <v>53</v>
      </c>
      <c r="C33" s="30">
        <f>C12*D31+C31</f>
        <v>672000</v>
      </c>
      <c r="D33" s="30"/>
      <c r="E33" s="30">
        <f>(4000-C12)*F31+E31</f>
        <v>416000</v>
      </c>
      <c r="G33" s="30"/>
      <c r="I33" s="30">
        <f>C33+E33+G33</f>
        <v>1088000</v>
      </c>
      <c r="J33" s="30">
        <f>I33/4000</f>
        <v>272</v>
      </c>
    </row>
    <row r="34" spans="2:10" x14ac:dyDescent="0.25">
      <c r="B34" t="s">
        <v>54</v>
      </c>
      <c r="C34" s="30">
        <f>C33/C12</f>
        <v>280</v>
      </c>
      <c r="E34" s="30">
        <f>E33/(4000-C12)</f>
        <v>260</v>
      </c>
      <c r="G34" s="30"/>
    </row>
    <row r="36" spans="2:10" ht="30" x14ac:dyDescent="0.25">
      <c r="B36" s="29" t="s">
        <v>55</v>
      </c>
      <c r="C36" s="30">
        <f>C12*D31+C31</f>
        <v>672000</v>
      </c>
      <c r="E36" s="30">
        <f>C12*F31+E31</f>
        <v>576000</v>
      </c>
      <c r="G36" s="30">
        <f>(6000-C12-C12)*H31+G31</f>
        <v>384000</v>
      </c>
      <c r="I36" s="30">
        <f>C36+E36+G36</f>
        <v>1632000</v>
      </c>
      <c r="J36" s="30">
        <f>I36/6000</f>
        <v>272</v>
      </c>
    </row>
    <row r="37" spans="2:10" x14ac:dyDescent="0.25">
      <c r="B37" t="s">
        <v>54</v>
      </c>
      <c r="C37" s="30">
        <f>C36/C12</f>
        <v>280</v>
      </c>
      <c r="E37" s="30">
        <f>E36/C12</f>
        <v>240</v>
      </c>
      <c r="G37" s="30">
        <f>G36/(6000-C12-C12)</f>
        <v>320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Integrantes</vt:lpstr>
      <vt:lpstr>Problema 1 (enunciado)</vt:lpstr>
      <vt:lpstr>Problema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Silva</dc:creator>
  <cp:keywords/>
  <dc:description/>
  <cp:lastModifiedBy>FELIPE FREITAS SILVA</cp:lastModifiedBy>
  <cp:revision/>
  <cp:lastPrinted>2024-06-12T02:32:48Z</cp:lastPrinted>
  <dcterms:created xsi:type="dcterms:W3CDTF">2024-04-01T13:16:43Z</dcterms:created>
  <dcterms:modified xsi:type="dcterms:W3CDTF">2024-06-12T16:16:15Z</dcterms:modified>
  <cp:category/>
  <cp:contentStatus/>
</cp:coreProperties>
</file>