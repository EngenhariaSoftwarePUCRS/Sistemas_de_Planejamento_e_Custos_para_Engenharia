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8"/>
  <workbookPr/>
  <mc:AlternateContent xmlns:mc="http://schemas.openxmlformats.org/markup-compatibility/2006">
    <mc:Choice Requires="x15">
      <x15ac:absPath xmlns:x15ac="http://schemas.microsoft.com/office/spreadsheetml/2010/11/ac" url="D:\Programming\EngenhariaSoftwarePUCRS\Sistemas_de_Planejamento_e_Custos_para_Engenharia\"/>
    </mc:Choice>
  </mc:AlternateContent>
  <xr:revisionPtr revIDLastSave="0" documentId="13_ncr:1_{FC120500-895E-45F6-835B-5DC6EF3A0282}" xr6:coauthVersionLast="47" xr6:coauthVersionMax="47" xr10:uidLastSave="{00000000-0000-0000-0000-000000000000}"/>
  <bookViews>
    <workbookView xWindow="19200" yWindow="0" windowWidth="19200" windowHeight="16200" firstSheet="4" activeTab="6" xr2:uid="{00000000-000D-0000-FFFF-FFFF00000000}"/>
  </bookViews>
  <sheets>
    <sheet name="Integrantes" sheetId="1" r:id="rId1"/>
    <sheet name="Problema 1 (enunciado)" sheetId="10" r:id="rId2"/>
    <sheet name="Problema 1 (calculos)" sheetId="11" r:id="rId3"/>
    <sheet name="Problema 1 (graficos)" sheetId="12" r:id="rId4"/>
    <sheet name="Problema 2 (enunciado)" sheetId="13" r:id="rId5"/>
    <sheet name="Problema 2 (calculos)" sheetId="14" r:id="rId6"/>
    <sheet name="Problema 2 (graficos)" sheetId="15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14" l="1"/>
  <c r="E20" i="14"/>
  <c r="E19" i="14"/>
  <c r="C21" i="14"/>
  <c r="C20" i="14"/>
  <c r="C19" i="14"/>
  <c r="F12" i="14"/>
  <c r="F15" i="14"/>
  <c r="E15" i="14"/>
  <c r="D15" i="14"/>
  <c r="C15" i="14"/>
  <c r="E13" i="14"/>
  <c r="E10" i="14"/>
  <c r="C29" i="14"/>
  <c r="C13" i="14" s="1"/>
  <c r="D29" i="14"/>
  <c r="D13" i="14" s="1"/>
  <c r="C20" i="13"/>
  <c r="D25" i="14" s="1"/>
  <c r="D18" i="13"/>
  <c r="B18" i="14" s="1"/>
  <c r="C18" i="13"/>
  <c r="C31" i="12"/>
  <c r="H29" i="12"/>
  <c r="F29" i="12"/>
  <c r="C29" i="12"/>
  <c r="H28" i="12"/>
  <c r="G28" i="12"/>
  <c r="F28" i="12"/>
  <c r="C28" i="12"/>
  <c r="C27" i="12"/>
  <c r="C26" i="12"/>
  <c r="G26" i="12" s="1"/>
  <c r="G31" i="12" s="1"/>
  <c r="C25" i="12"/>
  <c r="C11" i="12"/>
  <c r="E7" i="12"/>
  <c r="D7" i="12"/>
  <c r="C7" i="12"/>
  <c r="G7" i="12" s="1"/>
  <c r="D27" i="12" s="1"/>
  <c r="E6" i="12"/>
  <c r="D6" i="12"/>
  <c r="C6" i="12"/>
  <c r="G6" i="12" s="1"/>
  <c r="D5" i="12"/>
  <c r="C5" i="12"/>
  <c r="G5" i="12" s="1"/>
  <c r="D25" i="12" s="1"/>
  <c r="D10" i="10"/>
  <c r="D9" i="10"/>
  <c r="D8" i="10"/>
  <c r="C11" i="10"/>
  <c r="C10" i="10"/>
  <c r="C9" i="10"/>
  <c r="C12" i="10"/>
  <c r="C26" i="10"/>
  <c r="C27" i="10"/>
  <c r="C28" i="10"/>
  <c r="G28" i="11"/>
  <c r="C28" i="11"/>
  <c r="H28" i="11"/>
  <c r="H29" i="11"/>
  <c r="F28" i="11"/>
  <c r="F29" i="11"/>
  <c r="C11" i="11"/>
  <c r="C29" i="11"/>
  <c r="C27" i="11"/>
  <c r="C26" i="11"/>
  <c r="G26" i="11" s="1"/>
  <c r="C25" i="11"/>
  <c r="E7" i="11"/>
  <c r="E6" i="11"/>
  <c r="D7" i="11"/>
  <c r="D6" i="11"/>
  <c r="D5" i="11"/>
  <c r="C7" i="11"/>
  <c r="C6" i="11"/>
  <c r="G6" i="11" s="1"/>
  <c r="C5" i="11"/>
  <c r="E19" i="10"/>
  <c r="D19" i="10"/>
  <c r="C25" i="14" l="1"/>
  <c r="C9" i="14" s="1"/>
  <c r="D9" i="14"/>
  <c r="F9" i="14" s="1"/>
  <c r="D28" i="14"/>
  <c r="D27" i="14"/>
  <c r="D24" i="14"/>
  <c r="D26" i="14"/>
  <c r="D17" i="14"/>
  <c r="C18" i="14" s="1"/>
  <c r="C17" i="14"/>
  <c r="B17" i="14"/>
  <c r="D18" i="14"/>
  <c r="F25" i="12"/>
  <c r="H25" i="12"/>
  <c r="D26" i="12"/>
  <c r="C10" i="12"/>
  <c r="C12" i="12" s="1"/>
  <c r="F27" i="12"/>
  <c r="H27" i="12"/>
  <c r="E26" i="12"/>
  <c r="E31" i="12" s="1"/>
  <c r="G31" i="11"/>
  <c r="C31" i="11"/>
  <c r="G7" i="11"/>
  <c r="D27" i="11" s="1"/>
  <c r="D26" i="11"/>
  <c r="C10" i="11"/>
  <c r="C12" i="11" s="1"/>
  <c r="E26" i="11"/>
  <c r="E31" i="11" s="1"/>
  <c r="G5" i="11"/>
  <c r="D25" i="11" s="1"/>
  <c r="D30" i="14" l="1"/>
  <c r="D8" i="14"/>
  <c r="F8" i="14" s="1"/>
  <c r="C24" i="14"/>
  <c r="C28" i="14"/>
  <c r="C12" i="14" s="1"/>
  <c r="E12" i="14" s="1"/>
  <c r="D12" i="14"/>
  <c r="C26" i="14"/>
  <c r="C10" i="14" s="1"/>
  <c r="D10" i="14"/>
  <c r="F10" i="14" s="1"/>
  <c r="C27" i="14"/>
  <c r="C11" i="14" s="1"/>
  <c r="D11" i="14"/>
  <c r="F11" i="14" s="1"/>
  <c r="B8" i="15"/>
  <c r="C8" i="15" s="1"/>
  <c r="B14" i="15"/>
  <c r="C14" i="15" s="1"/>
  <c r="B20" i="15"/>
  <c r="C20" i="15" s="1"/>
  <c r="B15" i="15"/>
  <c r="C15" i="15" s="1"/>
  <c r="B3" i="15"/>
  <c r="C3" i="15" s="1"/>
  <c r="B4" i="15"/>
  <c r="C4" i="15" s="1"/>
  <c r="B10" i="15"/>
  <c r="C10" i="15" s="1"/>
  <c r="B16" i="15"/>
  <c r="C16" i="15" s="1"/>
  <c r="B22" i="15"/>
  <c r="C22" i="15" s="1"/>
  <c r="B6" i="15"/>
  <c r="C6" i="15" s="1"/>
  <c r="B12" i="15"/>
  <c r="C12" i="15" s="1"/>
  <c r="B7" i="15"/>
  <c r="C7" i="15" s="1"/>
  <c r="B13" i="15"/>
  <c r="C13" i="15" s="1"/>
  <c r="B9" i="15"/>
  <c r="C9" i="15" s="1"/>
  <c r="B5" i="15"/>
  <c r="C5" i="15" s="1"/>
  <c r="B11" i="15"/>
  <c r="C11" i="15" s="1"/>
  <c r="B17" i="15"/>
  <c r="C17" i="15" s="1"/>
  <c r="B2" i="15"/>
  <c r="C2" i="15" s="1"/>
  <c r="B18" i="15"/>
  <c r="B19" i="15"/>
  <c r="C19" i="15" s="1"/>
  <c r="B21" i="15"/>
  <c r="C21" i="15" s="1"/>
  <c r="H26" i="12"/>
  <c r="H31" i="12" s="1"/>
  <c r="G36" i="12" s="1"/>
  <c r="G37" i="12" s="1"/>
  <c r="F26" i="12"/>
  <c r="F31" i="12" s="1"/>
  <c r="D31" i="12"/>
  <c r="C36" i="12" s="1"/>
  <c r="H27" i="11"/>
  <c r="F27" i="11"/>
  <c r="F25" i="11"/>
  <c r="D31" i="11"/>
  <c r="H25" i="11"/>
  <c r="C36" i="11"/>
  <c r="C33" i="11"/>
  <c r="H26" i="11"/>
  <c r="F26" i="11"/>
  <c r="C8" i="14" l="1"/>
  <c r="C30" i="14"/>
  <c r="C18" i="15"/>
  <c r="C37" i="12"/>
  <c r="E36" i="12"/>
  <c r="E37" i="12" s="1"/>
  <c r="E33" i="12"/>
  <c r="E34" i="12" s="1"/>
  <c r="C33" i="12"/>
  <c r="C34" i="11"/>
  <c r="C37" i="11"/>
  <c r="H31" i="11"/>
  <c r="G36" i="11" s="1"/>
  <c r="G37" i="11" s="1"/>
  <c r="F31" i="11"/>
  <c r="C34" i="12" l="1"/>
  <c r="I33" i="12"/>
  <c r="I36" i="12"/>
  <c r="E36" i="11"/>
  <c r="E33" i="11"/>
  <c r="K36" i="12" l="1"/>
  <c r="L36" i="12" s="1"/>
  <c r="J36" i="12"/>
  <c r="K33" i="12"/>
  <c r="L33" i="12" s="1"/>
  <c r="J33" i="12"/>
  <c r="E34" i="11"/>
  <c r="I33" i="11"/>
  <c r="E37" i="11"/>
  <c r="I36" i="11"/>
  <c r="J33" i="11" l="1"/>
  <c r="K33" i="11"/>
  <c r="L33" i="11" s="1"/>
  <c r="J36" i="11"/>
  <c r="K36" i="11"/>
  <c r="L36" i="11" s="1"/>
</calcChain>
</file>

<file path=xl/sharedStrings.xml><?xml version="1.0" encoding="utf-8"?>
<sst xmlns="http://schemas.openxmlformats.org/spreadsheetml/2006/main" count="259" uniqueCount="108">
  <si>
    <t>Integrantes</t>
  </si>
  <si>
    <t>Felipe Freitas Silva</t>
  </si>
  <si>
    <t>Luiza Heller Kroeff Plá</t>
  </si>
  <si>
    <t>Marcius Moraes Vargas</t>
  </si>
  <si>
    <t>Análise Comparativa</t>
  </si>
  <si>
    <t>Podemos perceber que o Produto P é o mais lucrativo, visto que, tendo em média as operações A e B, é o que gera maior lucro em relação as horas consumidas.</t>
  </si>
  <si>
    <t>Portanto, no caso 1, em que não há restrições quanto à sua produção, é mais vantajoso produzir apenas do Produto P.</t>
  </si>
  <si>
    <t>Por outro lado, no momento em que associamos a produção de P com Q, apesar de ainda querermos produzir o máximo de P, temos de produzir 3 Q's para cada um e, por este motivo, o limite de produção de Q é levado em consideração. Caso sobre tempo, devemos produzir o máximo possível do produto R, já que este é livre de restrições.</t>
  </si>
  <si>
    <t>Mais ainda, quando inserimos duas dependências para P (Q e R) é que as produções começam a "nivelar" em questão de quantidade, visto que precisamos aumentar a produção de Q e R para poder aumentar P e, consequentemente, aumentar o lucro, que é nosso objetivo.</t>
  </si>
  <si>
    <t>Itens de Custo de Produção</t>
  </si>
  <si>
    <t>Custos no Primeiro Turno</t>
  </si>
  <si>
    <t>Fixo Direto</t>
  </si>
  <si>
    <t>Unitário dos Recursos Variáveis</t>
  </si>
  <si>
    <t>($ por mês)</t>
  </si>
  <si>
    <t>Material</t>
  </si>
  <si>
    <t>Mão de obra direta</t>
  </si>
  <si>
    <t>Energia</t>
  </si>
  <si>
    <t>Armazenagem</t>
  </si>
  <si>
    <t>Depreciação</t>
  </si>
  <si>
    <t>-</t>
  </si>
  <si>
    <t>Capacidade instalada de produção:</t>
  </si>
  <si>
    <t>horas/mês</t>
  </si>
  <si>
    <t>Peça metálica = A + B</t>
  </si>
  <si>
    <t>A</t>
  </si>
  <si>
    <t>B</t>
  </si>
  <si>
    <t>Utilização dos Recursos de Produção</t>
  </si>
  <si>
    <t>Fabricação do Componente A</t>
  </si>
  <si>
    <t>Fabricação do Componente B</t>
  </si>
  <si>
    <t>Montagem de Peças Metálicas</t>
  </si>
  <si>
    <t>kWh</t>
  </si>
  <si>
    <t>horas</t>
  </si>
  <si>
    <t>kg</t>
  </si>
  <si>
    <t>(36 unidades de A)</t>
  </si>
  <si>
    <t>(36 unidades de B)</t>
  </si>
  <si>
    <t>(12 peças metálicas)</t>
  </si>
  <si>
    <t>Custos fixos indiretos</t>
  </si>
  <si>
    <t>/mês</t>
  </si>
  <si>
    <t>para um 3º mês</t>
  </si>
  <si>
    <t>horas/mês/turno</t>
  </si>
  <si>
    <t>(4 unidades de A)</t>
  </si>
  <si>
    <t>(6 unidades de B)</t>
  </si>
  <si>
    <t>(1 peça metálicas)</t>
  </si>
  <si>
    <t>Peças produzidas por hora</t>
  </si>
  <si>
    <t>Peças produzidas por mês/turno</t>
  </si>
  <si>
    <t>Variável Unitário</t>
  </si>
  <si>
    <t>($ por peça)</t>
  </si>
  <si>
    <t>Custos no Segundo Turno</t>
  </si>
  <si>
    <t>Custos no Terceiro Turno</t>
  </si>
  <si>
    <t>Total</t>
  </si>
  <si>
    <t>hora</t>
  </si>
  <si>
    <t>kg. Total =</t>
  </si>
  <si>
    <t>horas. Total =</t>
  </si>
  <si>
    <t>kWh. Total =</t>
  </si>
  <si>
    <t>Custo total unitário de produção de 4000 peças por mês:</t>
  </si>
  <si>
    <t>Custo direto unitário:</t>
  </si>
  <si>
    <t>Custo direto unitário de produção de 6000 peças por mês:</t>
  </si>
  <si>
    <t>Custo Direto Total</t>
  </si>
  <si>
    <t>Custo Direto Unitário</t>
  </si>
  <si>
    <t>Custo fixo de armazenagem para 3º mês</t>
  </si>
  <si>
    <t>Custo Total Unitário</t>
  </si>
  <si>
    <t>Custo Total</t>
  </si>
  <si>
    <t>Quantidade Produzida (Q)</t>
  </si>
  <si>
    <t>Janeiro</t>
  </si>
  <si>
    <t>Fevereiro</t>
  </si>
  <si>
    <t>(peças por mês)</t>
  </si>
  <si>
    <t>Custo Direto de Produção (C)</t>
  </si>
  <si>
    <t>Materiais de produção</t>
  </si>
  <si>
    <t>Energia Elétrica</t>
  </si>
  <si>
    <t>Capacidade instalada de produção =</t>
  </si>
  <si>
    <t>peças por mês por turno</t>
  </si>
  <si>
    <t>Custos fixos indiretos =</t>
  </si>
  <si>
    <t>em um turno</t>
  </si>
  <si>
    <t>Custos fixos indiretos aditados =</t>
  </si>
  <si>
    <t>para eventual turno adicional</t>
  </si>
  <si>
    <t>Acrescimo preço mão de obra 2º turno =</t>
  </si>
  <si>
    <t>Acrescimo preço armazenamento 2º turno março =</t>
  </si>
  <si>
    <t>Objetivo de produção em Março =</t>
  </si>
  <si>
    <t>peças</t>
  </si>
  <si>
    <t>Custos no Mês de Março</t>
  </si>
  <si>
    <t>Primeiro Turno</t>
  </si>
  <si>
    <t>Segundo Turno</t>
  </si>
  <si>
    <t>Indiretos</t>
  </si>
  <si>
    <t>Quantidade Produzida</t>
  </si>
  <si>
    <t>(A)</t>
  </si>
  <si>
    <t>(D)</t>
  </si>
  <si>
    <t>(I)</t>
  </si>
  <si>
    <t>(E)</t>
  </si>
  <si>
    <t>Diferença Qtd Unidades Jan Fev</t>
  </si>
  <si>
    <t>CDU(E) =</t>
  </si>
  <si>
    <t>CDU(A) =</t>
  </si>
  <si>
    <t>CDU(D) =</t>
  </si>
  <si>
    <t>CDU(Mo) =</t>
  </si>
  <si>
    <t>CDU(Ma) =</t>
  </si>
  <si>
    <t>(Ma)</t>
  </si>
  <si>
    <t>(Mo)</t>
  </si>
  <si>
    <t>CDU(I) =</t>
  </si>
  <si>
    <t>Custo Fixo Direto ($ por mês)</t>
  </si>
  <si>
    <t>Custo Variável Unitário ($ por peça)</t>
  </si>
  <si>
    <t xml:space="preserve">Acrescimo preço energia 2º turno = </t>
  </si>
  <si>
    <t>Gráfico 1: Como os custos são fixos, podemos ver uma linearidade no gráfico; quanto mais produzimos, maior o custo direto total</t>
  </si>
  <si>
    <t>Gráfico 2: Por outro lado, quanto mais unidades produzimos, a tendência (linha pontilhada) é que o preço por unidade diminua logaritmicamente, até um ponto em que a diminuição se torna imperceptível. É interessante observar uma não-linearidade no gráfico na reta após a produção de 5000 unidades, visto que este é o limite por turno e, quando há a necessidade de um 2º turno, os custos sobem minimamente até se equilibrarem novamente.</t>
  </si>
  <si>
    <t>Gráficos 3-7: Não há gráficos para os custos de Ma, E, A, D ou Mo (ver legenda na página de cálculos), visto que todos são lineares e representam uma tendência similar de crescimento, embora com taxas diferentes. Custos como materiais e energia possuem custo fixo (inicial) menor, mas um crescimento maior conforme a produção aumenta. Custos como armazenagem e depreciação por outro lado são maiores inicialmente (custos fixos) mas não crescem tão rapidamente junto da produção.</t>
  </si>
  <si>
    <t>Custo Direto Total Estimado =</t>
  </si>
  <si>
    <t xml:space="preserve">Custo Total Estimado = </t>
  </si>
  <si>
    <t>Custo Total Unitário Estimado =</t>
  </si>
  <si>
    <t>Custo Direto Total Real =</t>
  </si>
  <si>
    <t>Custo Total Real =</t>
  </si>
  <si>
    <t>Custo Total Unitário Real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</si>
</sst>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0" xfId="1" applyFont="1"/>
    <xf numFmtId="2" fontId="0" fillId="0" borderId="0" xfId="1" applyNumberFormat="1" applyFont="1"/>
    <xf numFmtId="2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/>
    <xf numFmtId="0" fontId="0" fillId="0" borderId="11" xfId="0" applyBorder="1"/>
    <xf numFmtId="44" fontId="0" fillId="0" borderId="1" xfId="1" applyFont="1" applyBorder="1"/>
    <xf numFmtId="2" fontId="0" fillId="0" borderId="1" xfId="1" applyNumberFormat="1" applyFont="1" applyBorder="1"/>
    <xf numFmtId="0" fontId="1" fillId="0" borderId="11" xfId="0" applyFon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44" fontId="0" fillId="0" borderId="1" xfId="0" applyNumberFormat="1" applyBorder="1"/>
    <xf numFmtId="0" fontId="1" fillId="0" borderId="0" xfId="0" applyFont="1" applyAlignment="1">
      <alignment wrapText="1"/>
    </xf>
    <xf numFmtId="44" fontId="0" fillId="0" borderId="0" xfId="0" applyNumberFormat="1"/>
    <xf numFmtId="2" fontId="0" fillId="0" borderId="1" xfId="0" applyNumberFormat="1" applyBorder="1" applyAlignment="1">
      <alignment horizontal="right" vertical="center"/>
    </xf>
    <xf numFmtId="0" fontId="0" fillId="0" borderId="5" xfId="0" applyBorder="1"/>
    <xf numFmtId="2" fontId="0" fillId="0" borderId="4" xfId="0" applyNumberForma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0" fillId="0" borderId="0" xfId="0" applyNumberFormat="1" applyFill="1" applyBorder="1" applyAlignment="1">
      <alignment horizontal="right" vertical="center"/>
    </xf>
    <xf numFmtId="9" fontId="0" fillId="0" borderId="0" xfId="2" applyFont="1" applyFill="1" applyBorder="1" applyAlignment="1">
      <alignment horizontal="right" vertical="center"/>
    </xf>
    <xf numFmtId="2" fontId="0" fillId="0" borderId="1" xfId="0" applyNumberFormat="1" applyFill="1" applyBorder="1" applyAlignment="1">
      <alignment horizontal="right" vertical="center"/>
    </xf>
    <xf numFmtId="0" fontId="0" fillId="0" borderId="0" xfId="0" applyBorder="1"/>
    <xf numFmtId="2" fontId="0" fillId="0" borderId="0" xfId="0" applyNumberFormat="1" applyBorder="1" applyAlignment="1">
      <alignment horizontal="right" vertical="center"/>
    </xf>
    <xf numFmtId="0" fontId="0" fillId="0" borderId="0" xfId="0" applyFill="1" applyBorder="1"/>
    <xf numFmtId="0" fontId="1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0" fillId="2" borderId="0" xfId="0" applyFill="1"/>
    <xf numFmtId="0" fontId="0" fillId="0" borderId="13" xfId="0" applyBorder="1"/>
    <xf numFmtId="2" fontId="0" fillId="0" borderId="13" xfId="0" applyNumberFormat="1" applyBorder="1"/>
    <xf numFmtId="2" fontId="0" fillId="2" borderId="0" xfId="0" applyNumberFormat="1" applyFill="1"/>
    <xf numFmtId="0" fontId="1" fillId="0" borderId="0" xfId="0" applyFont="1" applyAlignment="1">
      <alignment horizontal="right"/>
    </xf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4" xfId="0" applyNumberFormat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Medium9"/>
  <colors>
    <mruColors>
      <color rgb="FFE87331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</a:t>
            </a:r>
            <a:r>
              <a:rPr lang="en-US" baseline="0"/>
              <a:t>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'Problema 2 (graficos)'!$B$1</c:f>
              <c:strCache>
                <c:ptCount val="1"/>
                <c:pt idx="0">
                  <c:v>Custo Direto Total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'Problema 2 (graficos)'!$A$2:$A$22</c:f>
              <c:numCache>
                <c:formatCode>General</c:formatCode>
                <c:ptCount val="21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</c:numCache>
            </c:numRef>
          </c:xVal>
          <c:yVal>
            <c:numRef>
              <c:f>'Problema 2 (graficos)'!$B$2:$B$22</c:f>
              <c:numCache>
                <c:formatCode>General</c:formatCode>
                <c:ptCount val="21"/>
                <c:pt idx="0">
                  <c:v>138000</c:v>
                </c:pt>
                <c:pt idx="1">
                  <c:v>170500</c:v>
                </c:pt>
                <c:pt idx="2">
                  <c:v>203000</c:v>
                </c:pt>
                <c:pt idx="3">
                  <c:v>235500</c:v>
                </c:pt>
                <c:pt idx="4">
                  <c:v>268000</c:v>
                </c:pt>
                <c:pt idx="5">
                  <c:v>300500</c:v>
                </c:pt>
                <c:pt idx="6">
                  <c:v>333000</c:v>
                </c:pt>
                <c:pt idx="7">
                  <c:v>365500</c:v>
                </c:pt>
                <c:pt idx="8">
                  <c:v>398000</c:v>
                </c:pt>
                <c:pt idx="9">
                  <c:v>430500</c:v>
                </c:pt>
                <c:pt idx="10">
                  <c:v>463000</c:v>
                </c:pt>
                <c:pt idx="11">
                  <c:v>495500</c:v>
                </c:pt>
                <c:pt idx="12">
                  <c:v>528000</c:v>
                </c:pt>
                <c:pt idx="13">
                  <c:v>560500</c:v>
                </c:pt>
                <c:pt idx="14">
                  <c:v>593000</c:v>
                </c:pt>
                <c:pt idx="15">
                  <c:v>625500</c:v>
                </c:pt>
                <c:pt idx="16">
                  <c:v>658000</c:v>
                </c:pt>
                <c:pt idx="17">
                  <c:v>690500</c:v>
                </c:pt>
                <c:pt idx="18">
                  <c:v>723000</c:v>
                </c:pt>
                <c:pt idx="19">
                  <c:v>755500</c:v>
                </c:pt>
                <c:pt idx="20">
                  <c:v>788000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1F-493A-8255-4D311B527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277343"/>
        <c:axId val="996272063"/>
      </c:scatterChart>
      <c:valAx>
        <c:axId val="996277343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Quantidade Produzida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272063"/>
        <c:crosses val="autoZero"/>
        <c:crossBetween val="midCat"/>
      </c:valAx>
      <c:valAx>
        <c:axId val="996272063"/>
        <c:scaling>
          <c:orientation val="minMax"/>
          <c:max val="800000"/>
          <c:min val="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 Direto</a:t>
                </a:r>
                <a:r>
                  <a:rPr lang="en-US" baseline="0"/>
                  <a:t> Total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277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</a:t>
            </a:r>
            <a:r>
              <a:rPr lang="en-US" baseline="0"/>
              <a:t>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'Problema 2 (graficos)'!$C$1</c:f>
              <c:strCache>
                <c:ptCount val="1"/>
                <c:pt idx="0">
                  <c:v>Custo Total Unitário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'Problema 2 (graficos)'!$A$2:$A$22</c:f>
              <c:numCache>
                <c:formatCode>General</c:formatCode>
                <c:ptCount val="21"/>
                <c:pt idx="0">
                  <c:v>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  <c:pt idx="5">
                  <c:v>2500</c:v>
                </c:pt>
                <c:pt idx="6">
                  <c:v>3000</c:v>
                </c:pt>
                <c:pt idx="7">
                  <c:v>3500</c:v>
                </c:pt>
                <c:pt idx="8">
                  <c:v>4000</c:v>
                </c:pt>
                <c:pt idx="9">
                  <c:v>4500</c:v>
                </c:pt>
                <c:pt idx="10">
                  <c:v>5000</c:v>
                </c:pt>
                <c:pt idx="11">
                  <c:v>5500</c:v>
                </c:pt>
                <c:pt idx="12">
                  <c:v>6000</c:v>
                </c:pt>
                <c:pt idx="13">
                  <c:v>6500</c:v>
                </c:pt>
                <c:pt idx="14">
                  <c:v>7000</c:v>
                </c:pt>
                <c:pt idx="15">
                  <c:v>7500</c:v>
                </c:pt>
                <c:pt idx="16">
                  <c:v>8000</c:v>
                </c:pt>
                <c:pt idx="17">
                  <c:v>8500</c:v>
                </c:pt>
                <c:pt idx="18">
                  <c:v>9000</c:v>
                </c:pt>
                <c:pt idx="19">
                  <c:v>9500</c:v>
                </c:pt>
                <c:pt idx="20">
                  <c:v>10000</c:v>
                </c:pt>
              </c:numCache>
            </c:numRef>
          </c:xVal>
          <c:yVal>
            <c:numRef>
              <c:f>'Problema 2 (graficos)'!$C$2:$C$22</c:f>
              <c:numCache>
                <c:formatCode>0.00</c:formatCode>
                <c:ptCount val="21"/>
                <c:pt idx="0">
                  <c:v>218000</c:v>
                </c:pt>
                <c:pt idx="1">
                  <c:v>501</c:v>
                </c:pt>
                <c:pt idx="2">
                  <c:v>283</c:v>
                </c:pt>
                <c:pt idx="3">
                  <c:v>210.33333333333334</c:v>
                </c:pt>
                <c:pt idx="4">
                  <c:v>174</c:v>
                </c:pt>
                <c:pt idx="5">
                  <c:v>152.19999999999999</c:v>
                </c:pt>
                <c:pt idx="6">
                  <c:v>137.66666666666666</c:v>
                </c:pt>
                <c:pt idx="7">
                  <c:v>127.28571428571429</c:v>
                </c:pt>
                <c:pt idx="8">
                  <c:v>119.5</c:v>
                </c:pt>
                <c:pt idx="9">
                  <c:v>113.44444444444444</c:v>
                </c:pt>
                <c:pt idx="10">
                  <c:v>108.6</c:v>
                </c:pt>
                <c:pt idx="11">
                  <c:v>113.72727272727273</c:v>
                </c:pt>
                <c:pt idx="12">
                  <c:v>109.66666666666667</c:v>
                </c:pt>
                <c:pt idx="13">
                  <c:v>106.23076923076923</c:v>
                </c:pt>
                <c:pt idx="14">
                  <c:v>103.28571428571429</c:v>
                </c:pt>
                <c:pt idx="15">
                  <c:v>100.73333333333333</c:v>
                </c:pt>
                <c:pt idx="16">
                  <c:v>98.5</c:v>
                </c:pt>
                <c:pt idx="17">
                  <c:v>96.529411764705884</c:v>
                </c:pt>
                <c:pt idx="18">
                  <c:v>94.777777777777771</c:v>
                </c:pt>
                <c:pt idx="19">
                  <c:v>93.21052631578948</c:v>
                </c:pt>
                <c:pt idx="20">
                  <c:v>91.8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C9-4CFB-A927-1B738F1F8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3554655"/>
        <c:axId val="963545055"/>
      </c:scatterChart>
      <c:valAx>
        <c:axId val="963554655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Quantidade Produzida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3545055"/>
        <c:crosses val="autoZero"/>
        <c:crossBetween val="midCat"/>
      </c:valAx>
      <c:valAx>
        <c:axId val="963545055"/>
        <c:scaling>
          <c:orientation val="minMax"/>
          <c:max val="1000"/>
          <c:min val="-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 Total Unitário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3554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22</xdr:row>
      <xdr:rowOff>38100</xdr:rowOff>
    </xdr:from>
    <xdr:to>
      <xdr:col>3</xdr:col>
      <xdr:colOff>173553</xdr:colOff>
      <xdr:row>27</xdr:row>
      <xdr:rowOff>695325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0FF248-877E-46AA-B5DA-15342E0886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19050</xdr:colOff>
      <xdr:row>0</xdr:row>
      <xdr:rowOff>23812</xdr:rowOff>
    </xdr:from>
    <xdr:to>
      <xdr:col>4</xdr:col>
      <xdr:colOff>6543675</xdr:colOff>
      <xdr:row>21</xdr:row>
      <xdr:rowOff>142875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F1E70E1-11B5-E81C-C301-A34712FF6C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B1372D7-AB95-484B-95BE-AACF8D95D0FC}">
  <we:reference id="wa104100404" version="3.0.0.1" store="en-US" storeType="omex"/>
  <we:alternateReferences>
    <we:reference id="wa104100404" version="3.0.0.1" store="en-US" storeType="omex"/>
  </we:alternateReferences>
  <we:properties>
    <we:property name="Bh4aFyoaBT9XEg==" value="&quot;RA==&quot;"/>
    <we:property name="Bh4aFyoaBTRcEg==" value="&quot;MiMx&quot;"/>
    <we:property name="JQMZBToLLnF/HDJCVnkMFAMfAC0EPyI=" value="&quot;UTVSWHVMHHUL&quot;"/>
    <we:property name="JQMZBToLLnF/HDJCVnkVFxs=" value="&quot;UTVSUHc=&quot;"/>
    <we:property name="JQMZBToLLnF/HDJCVnkXFAk7CCE=" value="&quot;RA==&quot;"/>
    <we:property name="JQMZBToLLnF/HDJCVnkpGh0ABD03KDReRA==" value="&quot;VU1LQQ==&quot;"/>
    <we:property name="JQMZBToLLnF/HDJCVnkpGh0ABD03KDReRw==" value="&quot;VU9LQQ==&quot;"/>
    <we:property name="JQMZBToLLnF/HDJCVnkpGh0ABD03KDlBRA==" value="&quot;UTNSUH5SfhMWRH8=&quot;"/>
    <we:property name="JQMZBToLLnF/HDJCVnkpGh0ABD03KDlBRw==" value="&quot;RQ==&quot;"/>
    <we:property name="JQMZBToLLnF/HDJCVnkpGh0ABD03NCRf" value="&quot;Rw==&quot;"/>
    <we:property name="JQMZBToLLnF/HDJCVnkpGh0ABD03NDRV" value="&quot;RA==&quot;"/>
    <we:property name="JQMZBToLLnF/HDJCVnkpGh0ABD03NjlBRA==" value="&quot;UTJSUH5SfhIWRH8=&quot;"/>
    <we:property name="JQMZBToLLnF/HDJCVnkpGh0ABD03NjlBRw==" value="&quot;UTVSWHVMHHUL&quot;"/>
    <we:property name="JQMZBToLLnF/HDJCVnkpGh0ABD03Pz9V" value="&quot;RQ==&quot;"/>
    <we:property name="JQMZBToLLnF/HDJDFDc2AxQEPi4LOQ==" value="&quot;RV9GUX4=&quot;"/>
    <we:property name="JQMZBToLLnF/HDJDFDc2AxQEPi4aKQ==" value="&quot;RA==&quot;"/>
    <we:property name="JQMZBToLLnF/HDJDFDc2AxQEPiENPQ==" value="&quot;RA==&quot;"/>
    <we:property name="JQMZBToLLnF/HDJDFDc2AxQEPiEdNw==" value="&quot;Rw==&quot;"/>
    <we:property name="JQMZBToLLnF/HDJDFDc2AxQEPiIGMw==" value="&quot;RkE=&quot;"/>
    <we:property name="JQMZBToLLnF/HDJDFDc2AxQEPiINLg==" value="&quot;RA==&quot;"/>
    <we:property name="JQMZBToLLnF/HDJDFDc2AxQEPiIaLg==" value="&quot;RV9GVno=&quot;"/>
    <we:property name="JQMZBToLLnF/HDJDFDc2AxQEPiIbNg==" value="&quot;RQ==&quot;"/>
    <we:property name="JQMZBToLLnF/HDJDFDc2AxQEPiMAKWA=" value="&quot;UTJSUH5SfhIWRH8=&quot;"/>
    <we:property name="JQMZBToLLnF/HDJDFDc2AxQEPiMAKWM=" value="&quot;UTVSWHVMHHUL&quot;"/>
    <we:property name="JQMZBToLLnF/HDJDFDc2AxQEPiMYKg==" value="&quot;RQ==&quot;"/>
    <we:property name="JQMZBToLLnF/HDJDFDc2AxQEPiMYLg==" value="&quot;RQ==&quot;"/>
    <we:property name="JQMZBToLLnF/HDJDFDc2AxQEPiYYKQ==" value="&quot;RV9PWA==&quot;"/>
    <we:property name="JQMZBToLLnF/HDJDFDc2AxQEPiYYMw==" value="&quot;RA==&quot;"/>
    <we:property name="JQMZBToLLnF/HDJDFDc2AxQEPiYYPg==" value="&quot;Rg==&quot;"/>
    <we:property name="JQMZBToLLnF/HDJDFDc2AxQEPigJKg==" value="&quot;RV9GUX9YamA=&quot;"/>
    <we:property name="JQMZBToLLnF/HDJDFDc2AxQEPikNOw==" value="&quot;RV9GUX9YamA=&quot;"/>
    <we:property name="JQMZBToLLnF/HDJDFDc2AxQEPioGPQ==" value="&quot;OSE=&quot;"/>
    <we:property name="JQMZBToLLnF/HDJDFDc2AxQEPiwePQ==" value="&quot;RV9GUX9Z&quot;"/>
    <we:property name="JQMZBToLLnF/HDJDFDc2AxQEPj0AKWA=" value="&quot;UTNSUH5SfhMWRH8=&quot;"/>
    <we:property name="JQMZBToLLnF/HDJDFDc2AxQEPj0AKWM=" value="&quot;RQ==&quot;"/>
    <we:property name="JQMZBToLLnF/HDJDFDc2AxQEPj0EIg==" value="&quot;RQ==&quot;"/>
    <we:property name="JQMZBToLLnF/HDJDFDc2AxQEPj0KLA==" value="&quot;RA==&quot;"/>
    <we:property name="JQMZBToLLnF/HDJDFDc2AxQEPj0NKQ==" value="&quot;QA==&quot;"/>
    <we:property name="JQMZBToLLnF/HDJDFDc2AxQEPj0NNmA=" value="&quot;VU1LQQ==&quot;"/>
    <we:property name="JQMZBToLLnF/HDJDFDc2AxQEPj0NNmM=" value="&quot;VU9LQQ==&quot;"/>
    <we:property name="JQMZBToLLnF/HDJDFDc2AxQEPj0bPg==" value="&quot;RQ==&quot;"/>
    <we:property name="JQMZBToLLnF/HDJDFDc2AxQEPj8aPw==" value="&quot;RV9GUX9YamA=&quot;"/>
    <we:property name="JQMZBToLLnF/HDJDFDc2AxQEPjkJNg==" value="&quot;RQ==&quot;"/>
    <we:property name="JQMZBToLLnF/HDJDFDc2AxQEPjsHNg==" value="&quot;RV9GUA==&quot;"/>
    <we:property name="JQMZBToLLnF/HDJDFDc2AxQEPjwHOQ==" value="&quot;RQ==&quot;"/>
    <we:property name="JQMZBToLLnF/HDJDFDc2AxQEPjwLNg==" value="&quot;RA==&quot;"/>
    <we:property name="JQMZBToLLnF/HDJDFDc2AxQEPjwbIA==" value="&quot;REFG&quot;"/>
    <we:property name="JQMZBToLLnF/HDJDFDc2AxQEPjwcOw==" value="&quot;RQ==&quot;"/>
    <we:property name="JQMZBToLLnF/HDJDKDow" value="&quot;UTVSUHc=&quot;"/>
    <we:property name="JQMZBToLLnF/HDJDKjkiOBgY" value="&quot;RA==&quot;"/>
    <we:property name="JQMZBToLLnF/HDJDMTkoHBAUDSob" value="&quot;UTVSWHVMHHUL&quot;"/>
    <we:property name="JhgCFC6PuT4SPGpPRws/GFEkBDwcKDjVgC8RRg47BxgXAyMNKQ==" value="&quot;UTJSUH5SfhQWRHs=&quot;"/>
    <we:property name="JhgCFC6PuT4SPGpPRws/GFEkBDwcKDjVgC8RRg47BxgXAyMNKWA=" value="&quot;&quot;"/>
    <we:property name="JhgCFC6PuT4SPGpPRws/GFEkBDwcKDjVgC8RRg47BxgXAyMNKWE=" value="&quot;&quot;"/>
    <we:property name="JhgCFC6PuT4SPGpPRws/GFEkBDwcKDjVgC8RRg47BxgXAyMNKWI=" value="&quot;&quot;"/>
    <we:property name="JhgCFC6PuT4SPGpPRws/GFEkBDwcKDjVgC8RRg47BxgXAyMNKWM=" value="&quot;&quot;"/>
    <we:property name="JhgCFC6PuT4SPGpPRws/GFEkBDwcKDjVgC8RRg47BxgXAyMNKWQ=" value="&quot;&quot;"/>
    <we:property name="JhgCFC6PuT4SPGpPRws/GFEkBDwcKDjVgC8RRg47BxgXAyMNKWU=" value="&quot;&quot;"/>
    <we:property name="JhgCFC6PuT4SPGpPRws/GFEkBDwcKDjVgC8RRhU7DTwfDw==" value="&quot;RA==&quot;"/>
    <we:property name="JhgCFC6PuT4SPGpPRws/GFEkBDwcKDjVgC8RRhc4Hw==" value="&quot;UTZSWA==&quot;"/>
    <we:property name="JhgCFC6PuT4SPGpPRws/GFEkBDwcKDjVgC8RRis1GQcTExABKiI=" value="&quot;RV9PWA==&quot;"/>
    <we:property name="JhgCFC6PuT4SPGpPRws/GFEkBDwcKDjVgC8RRis1GQcTExABKjU=" value="&quot;Rg==&quot;"/>
    <we:property name="JhgCFC6PuT4SPGpPRws/GFEkBDwcKDjVgC8RRis1GQcTExABKjg=" value="&quot;RA==&quot;"/>
    <we:property name="JhgCFC6PuT4SPGpPRws/GFEkBDwcKDjVgC8RRis1GQcTExAEKiE=" value="&quot;RQ==&quot;"/>
    <we:property name="JhgCFC6PuT4SPGpPRws/GFEkBDwcKDjVgC8RRis1GQcTExAEKiU=" value="&quot;RQ==&quot;"/>
    <we:property name="JhgCFC6PuT4SPGpPRws/GFEkBDwcKDjVgC8RRis1GQcTExAFKCU=" value="&quot;RV9GVno=&quot;"/>
    <we:property name="JhgCFC6PuT4SPGpPRws/GFEkBDwcKDjVgC8RRis1GQcTExAFKT0=" value="&quot;RQ==&quot;"/>
    <we:property name="JhgCFC6PuT4SPGpPRws/GFEkBDwcKDjVgC8RRis1GQcTExAFNDg=" value="&quot;RkE=&quot;"/>
    <we:property name="JhgCFC6PuT4SPGpPRws/GFEkBDwcKDjVgC8RRis1GQcTExAFPyU=" value="&quot;RA==&quot;"/>
    <we:property name="JhgCFC6PuT4SPGpPRws/GFEkBDwcKDjVgC8RRis1GQcTExAGLzw=" value="&quot;RA==&quot;"/>
    <we:property name="JhgCFC6PuT4SPGpPRws/GFEkBDwcKDjVgC8RRis1GQcTExAGPzY=" value="&quot;RA==&quot;"/>
    <we:property name="JhgCFC6PuT4SPGpPRws/GFEkBDwcKDjVgC8RRis1GQcTExAJKCI=" value="&quot;RA==&quot;"/>
    <we:property name="JhgCFC6PuT4SPGpPRws/GFEkBDwcKDjVgC8RRis1GQcTExAJOTI=" value="&quot;RV9GUX4=&quot;"/>
    <we:property name="JhgCFC6PuT4SPGpPRws/GFEkBDwcKDjVgC8RRis1GQcTExALLDY=" value="&quot;RV9GUX9Z&quot;"/>
    <we:property name="JhgCFC6PuT4SPGpPRws/GFEkBDwcKDjVgC8RRis1GQcTExANNDY=" value="&quot;OSE=&quot;"/>
    <we:property name="JhgCFC6PuT4SPGpPRws/GFEkBDwcKDjVgC8RRis1GQcTExAOPzA=" value="&quot;RV9GUX9YamA=&quot;"/>
    <we:property name="JhgCFC6PuT4SPGpPRws/GFEkBDwcKDjVgC8RRis1GQcTExAPOyE=" value="&quot;RV9GUX9YamA=&quot;"/>
    <we:property name="JhgCFC6PuT4SPGpPRws/GFEkBDwcKDjVgC8RRis1GQcTExAYKDQ=" value="&quot;RV9GUX9YamA=&quot;"/>
    <we:property name="JhgCFC6PuT4SPGpPRws/GFEkBDwcKDjVgC8RRis1GQcTExAaKTU=" value="&quot;RQ==&quot;"/>
    <we:property name="JhgCFC6PuT4SPGpPRws/GFEkBDwcKDjVgC8RRis1GQcTExAaNik=" value="&quot;RQ==&quot;"/>
    <we:property name="JhgCFC6PuT4SPGpPRws/GFEkBDwcKDjVgC8RRis1GQcTExAaOCc=" value="&quot;RA==&quot;"/>
    <we:property name="JhgCFC6PuT4SPGpPRws/GFEkBDwcKDjVgC8RRis1GQcTExAaPyI=" value="&quot;QA==&quot;"/>
    <we:property name="JhgCFC6PuT4SPGpPRws/GFEkBDwcKDjVgC8RRis1GQcTExAbKSs=" value="&quot;REFG&quot;"/>
    <we:property name="JhgCFC6PuT4SPGpPRws/GFEkBDwcKDjVgC8RRis1GQcTExAbLjA=" value="&quot;RQ==&quot;"/>
    <we:property name="JhgCFC6PuT4SPGpPRws/GFEkBDwcKDjVgC8RRis1GQcTExAbNTI=" value="&quot;RQ==&quot;"/>
    <we:property name="JhgCFC6PuT4SPGpPRws/GFEkBDwcKDjVgC8RRis1GQcTExAbOT0=" value="&quot;RA==&quot;"/>
    <we:property name="JhgCFC6PuT4SPGpPRws/GFEkBDwcKDjVgC8RRis1GQcTExAcNT0=" value="&quot;RV9GUA==&quot;"/>
    <we:property name="JhgCFC6PuT4SPGpPRws/GFEkBDwcKDjVgC8RRis1GQcTExAeOz0=" value="&quot;RQ==&quot;"/>
    <we:property name="OhMc" value="&quot;&quot;"/>
    <we:property name="UniqueID" value="&quot;2024311711983425048&quot;"/>
    <we:property name="JhgCFC6PuT4SPGpPRws/GFEkBDwcKDjVgC8RRis1GQcTExAEMiID" value="&quot;UTdSV3VMHHUF&quot;"/>
    <we:property name="JhgCFC6PuT4SPGpPRws/GFEkBDwcKDjVgC8RRis1GQcTExAaPz0D" value="&quot;VU1LQQ==&quot;"/>
    <we:property name="JhgCFC6PuT4SPGpPRws/GFEkBDwcKDjVgC8RRis1GQcTExAaMiID" value="&quot;UTZSV3VMHXUF&quot;"/>
    <we:property name="JhgCFC6PuT4SPGpPRws/GFEkBDwcKDjVgC8RRis1GQcTExAEMiIA" value="&quot;&quot;"/>
    <we:property name="JhgCFC6PuT4SPGpPRws/GFEkBDwcKDjVgC8RRis1GQcTExAaPz0A" value="&quot;VU1LQQ==&quot;"/>
    <we:property name="JhgCFC6PuT4SPGpPRws/GFEkBDwcKDjVgC8RRis1GQcTExAaMiIA" value="&quot;&quot;"/>
    <we:property name="JhgCFC6PuT4SPGpPRws/GFEkBDwcKDjVgC8RRis1GQcTExAEMiIB" value="&quot;&quot;"/>
    <we:property name="JhgCFC6PuT4SPGpPRws/GFEkBDwcKDjVgC8RRis1GQcTExAaPz0B" value="&quot;VU1LQQ==&quot;"/>
    <we:property name="JhgCFC6PuT4SPGpPRws/GFEkBDwcKDjVgC8RRis1GQcTExAaMiIB" value="&quot;&quot;"/>
    <we:property name="JhgCFC6PuT4SPANCSngKVU1LQR5IPjhEVXlDFDc2AxQEPioGPQ==" value="&quot;OSE=&quot;"/>
    <we:property name="JhgCFC6PuT4SPANCSngKVU1LQR5IPjhEVXlDKjkiOBgY" value="&quot;RA==&quot;"/>
    <we:property name="JhgCFC6PuT4SPANCSngKVU1LQR5IPjhEVXlDKDow" value="&quot;UTZSWA==&quot;"/>
    <we:property name="JhgCFC6PuT4SPANCSngKVU1LQR5IPjhEVXlDMTkoHBAUDSob" value="&quot;UTJSUH5SfhQWRHs=&quot;"/>
    <we:property name="JhgCFC6PuT4SPANCSngKVU1LQR5IPjhEVXlDMTkoHBAUDSobaw==" value="&quot;&quot;"/>
    <we:property name="JhgCFC6PuT4SPANCSngKVU1LQR5IPjhEVXlDFDc2AxQEPiEdNw==" value="&quot;Rg==&quot;"/>
    <we:property name="JhgCFC6PuT4SPANCSngKVU1LQR5IPjhEVXlDFDc2AxQEPiMAKWA=" value="&quot;UTJSUH4=&quot;"/>
    <we:property name="JhgCFC6PuT4SPANCSngKVU1LQR5IPjhEVXlDFDc2AxQEPj0NNmA=" value="&quot;VU1LQQ==&quot;"/>
    <we:property name="JhgCFC6PuT4SPANCSngKVU1LQR5IPjhEVXlDFDc2AxQEPj0AKWA=" value="&quot;UTVSU34=&quot;"/>
    <we:property name="JhgCFC6PuT4SPANCSngKVU1LQR5IPjhEVXlDFDc2AxQEPiMAKWM=" value="&quot;UTJSUH5SfhQWRHs=&quot;"/>
    <we:property name="JhgCFC6PuT4SPANCSngKVU1LQR5IPjhEVXlDFDc2AxQEPj0NNmM=" value="&quot;VU9LQQ==&quot;"/>
    <we:property name="JhgCFC6PuT4SPANCSngKVU1LQR5IPjhEVXlDFDc2AxQEPj0AKWM=" value="&quot;RQ==&quot;"/>
    <we:property name="JhgCFC6PuT4SPANCSngKVU1LQR5IPjhEVXlDFDc2AxQEPiMAKWI=" value="&quot;UTdSV3VMHHUF&quot;"/>
    <we:property name="JhgCFC6PuT4SPANCSngKVU1LQR5IPjhEVXlDFDc2AxQEPj0NNmI=" value="&quot;VU1LQQ==&quot;"/>
    <we:property name="JhgCFC6PuT4SPANCSngKVU1LQR5IPjhEVXlDFDc2AxQEPj0AKWI=" value="&quot;UTZSV3VMHXUF&quot;"/>
    <we:property name="JhgCFC6PuT4SPANCSngKVU1LQR5IPjhEVXlDFDc2AxQEPiMAKWU=" value="&quot;&quot;"/>
    <we:property name="JhgCFC6PuT4SPANCSngKVU1LQR5IPjhEVXlDFDc2AxQEPj0NNmU=" value="&quot;VU1LQQ==&quot;"/>
    <we:property name="JhgCFC6PuT4SPANCSngKVU1LQR5IPjhEVXlDFDc2AxQEPj0AKWU=" value="&quot;&quot;"/>
    <we:property name="JhgCFC6PuT4SPAMrR3V6JVFKXG8FPzVbFGIzS3gIXFA5AyU=" value="&quot;UTZSWA==&quot;"/>
    <we:property name="JhgCFC6PuT4SPAMrR3V6JVFKXG8FPzVbFGIzS3gIXFA7ADclMz8=" value="&quot;RA==&quot;"/>
    <we:property name="JhgCFC6PuT4SPAMrR3V6JVFKXG8FPzVbFGIzS3gIXFAgAD0BOzNeEDk=" value="&quot;UTJSUH5SfhQWRHs=&quot;"/>
    <we:property name="JhgCFC6PuT4SPAMrR3V6JVFKXG8FPzVbFGIzS3gIXFAgAD0BOzNeEDlT" value="&quot;&quot;"/>
    <we:property name="JhgCFC6PuT4SPAMrR3V6JVFKXG8FPzVbFGIzS3gIXFAgAD0BOzNeEDlQ" value="&quot;&quot;"/>
    <we:property name="JhgCFC6PuT4SPANCSngKVU1LQR5IPjhEVXlDFDc2AxQEPiMAKWQ=" value="&quot;&quot;"/>
    <we:property name="JhgCFC6PuT4SPANCSngKVU1LQR5IPjhEVXlDFDc2AxQEPj0NNmQ=" value="&quot;VU1LQQ==&quot;"/>
    <we:property name="JhgCFC6PuT4SPANCSngKVU1LQR5IPjhEVXlDFDc2AxQEPj0AKWQ=" value="&quot;&quot;"/>
    <we:property name="JhgCFC6PuT4SPANCSngKVU1LQR5IPjhEVXlDFDc2AxQEPiMAKWc=" value="&quot;&quot;"/>
    <we:property name="JhgCFC6PuT4SPANCSngKVU1LQR5IPjhEVXlDFDc2AxQEPj0NNmc=" value="&quot;VU1LQQ==&quot;"/>
    <we:property name="JhgCFC6PuT4SPANCSngKVU1LQR5IPjhEVXlDFDc2AxQEPj0AKWc=" value="&quot;&quot;"/>
    <we:property name="JhgCFC6PuT4SPAMrR3V6JVFKXG8FPzVbFGIzS3gIXFAFDiMePyNtECQF" value="&quot;OSE=&quot;"/>
    <we:property name="JhgCFC6PuT4SPAMrR3V6JVFKXG8FPzVbFGIzS3gIXFAFDiMePyNtGz8P" value="&quot;Rg==&quot;"/>
    <we:property name="JhgCFC6PuT4SPAMrR3V6JVFKXG8FPzVbFGIzS3gIXFAFDiMePyNtGSIRVg==" value="&quot;UTJSUH4=&quot;"/>
    <we:property name="JhgCFC6PuT4SPAMrR3V6JVFKXG8FPzVbFGIzS3gIXFAFDiMePyNtBy8OVg==" value="&quot;VU1LQQ==&quot;"/>
    <we:property name="JhgCFC6PuT4SPAMrR3V6JVFKXG8FPzVbFGIzS3gIXFAFDiMePyNtByIRVg==" value="&quot;UTVSU34=&quot;"/>
    <we:property name="JhgCFC6PuT4SPAMrR3V6JVFKXG8FPzVbFGIzS3gIXFAFDiMePyNtGSIRVQ==" value="&quot;UTdSV3VMHHUF&quot;"/>
    <we:property name="JhgCFC6PuT4SPAMrR3V6JVFKXG8FPzVbFGIzS3gIXFAFDiMePyNtBy8OVQ==" value="&quot;VU1LQQ==&quot;"/>
    <we:property name="JhgCFC6PuT4SPAMrR3V6JVFKXG8FPzVbFGIzS3gIXFAFDiMePyNtByIRVQ==" value="&quot;UTZSV3VMHXUF&quot;"/>
    <we:property name="JhgCFC6PuT4SPAMrR3V6JVFKXG8FPzVbFGIzS3gIXFAFDiMePyNtGSIRVA==" value="&quot;UTJSUH5SfhQWRHs=&quot;"/>
    <we:property name="JhgCFC6PuT4SPAMrR3V6JVFKXG8FPzVbFGIzS3gIXFAFDiMePyNtBy8OVA==" value="&quot;VU9LQQ==&quot;"/>
    <we:property name="JhgCFC6PuT4SPAMrR3V6JVFKXG8FPzVbFGIzS3gIXFAFDiMePyNtByIRVA==" value="&quot;RQ==&quot;"/>
    <we:property name="JhgCFC6PuT4SPAMrR3V6JVFKXG8FPzVbFGIzS3gIXFAFDiMePyNtGSIRUw==" value="&quot;&quot;"/>
    <we:property name="JhgCFC6PuT4SPAMrR3V6JVFKXG8FPzVbFGIzS3gIXFAFDiMePyNtBy8OUw==" value="&quot;VU1LQQ==&quot;"/>
    <we:property name="JhgCFC6PuT4SPAMrR3V6JVFKXG8FPzVbFGIzS3gIXFAFDiMePyNtByIRUw==" value="&quot;&quot;"/>
    <we:property name="JhgCFC6PuT4SPAMrR3V6JVFKXG8FPzVbFGIzS3gIXFAFDiMePyNtAysO" value="&quot;RQ==&quot;"/>
    <we:property name="JhgCFC6PuT4SPAMrR3V6JVFKXG8FPzVbFGIzS3gIXFAFDiMePyNtBTgH" value="&quot;RV9GUX9YamA=&quot;"/>
    <we:property name="JhgCFC6PuT4SPAMrR3V6JVFKXG8FPzVbFGIzS3gIXFAFDiMePyNtBikO" value="&quot;RA==&quot;"/>
    <we:property name="JhgCFC6PuT4SPAMrR3V6JVFKXG8FPzVbFGIzS3gIXFAFDiMePyNtByYa" value="&quot;RQ==&quot;"/>
    <we:property name="JhgCFC6PuT4SPAMrR3V6JVFKXG8FPzVbFGIzS3gIXFAFDiMePyNtASUO" value="&quot;RV9GUA==&quot;"/>
    <we:property name="JhgCFC6PuT4SPAMrR3V6JVFKXG8FPzVbFGIzS3gIXFAFDiMePyNtFjwF" value="&quot;RV9GUX9Z&quot;"/>
    <we:property name="JhgCFC6PuT4SPAMrR3V6JVFKXG8FPzVbFGIzS3gIXFAFDiMePyNtGDkO" value="&quot;RQ==&quot;"/>
    <we:property name="JhgCFC6PuT4SPAMrR3V6JVFKXG8FPzVbFGIzS3gIXFAFDiMePyNtBjkY" value="&quot;REFG&quot;"/>
    <we:property name="JhgCFC6PuT4SPAMrR3V6JVFKXG8FPzVbFGIzS3gIXFAFDiMePyNtBzkG" value="&quot;RQ==&quot;"/>
    <we:property name="JhgCFC6PuT4SPAMrR3V6JVFKXG8FPzVbFGIzS3gIXFAFDiMePyNtGDgW" value="&quot;RV9GVno=&quot;"/>
    <we:property name="JhgCFC6PuT4SPAMrR3V6JVFKXG8FPzVbFGIzS3gIXFAFDiMePyNtGCQL" value="&quot;RkE=&quot;"/>
    <we:property name="JhgCFC6PuT4SPAMrR3V6JVFKXG8FPzVbFGIzS3gIXFAFDiMePyNtBygU" value="&quot;RA==&quot;"/>
    <we:property name="JhgCFC6PuT4SPAMrR3V6JVFKXG8FPzVbFGIzS3gIXFAFDiMePyNtGy8F" value="&quot;RA==&quot;"/>
    <we:property name="JhgCFC6PuT4SPAMrR3V6JVFKXG8FPzVbFGIzS3gIXFAFDiMePyNtFCkB" value="&quot;RV9GUX4=&quot;"/>
    <we:property name="JhgCFC6PuT4SPAMrR3V6JVFKXG8FPzVbFGIzS3gIXFAFDiMePyNtBy8R" value="&quot;QA==&quot;"/>
    <we:property name="JhgCFC6PuT4SPAMrR3V6JVFKXG8FPzVbFGIzS3gIXFAFDiMePyNtFDgR" value="&quot;RA==&quot;"/>
    <we:property name="JhgCFC6PuT4SPAMrR3V6JVFKXG8FPzVbFGIzS3gIXFAFDiMePyNtBj4D" value="&quot;RQ==&quot;"/>
    <we:property name="JhgCFC6PuT4SPAMrR3V6JVFKXG8FPzVbFGIzS3gIXFAFDiMePyNtGC8W" value="&quot;RA==&quot;"/>
    <we:property name="JhgCFC6PuT4SPAMrR3V6JVFKXG8FPzVbFGIzS3gIXFAFDiMePyNtBiUB" value="&quot;RQ==&quot;"/>
    <we:property name="JhgCFC6PuT4SPAMrR3V6JVFKXG8FPzVbFGIzS3gIXFAFDiMePyNtGToW" value="&quot;RQ==&quot;"/>
    <we:property name="JhgCFC6PuT4SPAMrR3V6JVFKXG8FPzVbFGIzS3gIXFAFDiMePyNtGToS" value="&quot;RQ==&quot;"/>
    <we:property name="JhgCFC6PuT4SPAMrR3V6JVFKXG8FPzVbFGIzS3gIXFAFDiMePyNtEisS" value="&quot;RV9GUX9YamA=&quot;"/>
    <we:property name="JhgCFC6PuT4SPAMrR3V6JVFKXG8FPzVbFGIzS3gIXFAFDiMePyNtHDoR" value="&quot;RV9PWA==&quot;"/>
    <we:property name="JhgCFC6PuT4SPAMrR3V6JVFKXG8FPzVbFGIzS3gIXFAFDiMePyNtEy8D" value="&quot;RV9GUX9YamA=&quot;"/>
    <we:property name="JhgCFC6PuT4SPAMrR3V6JVFKXG8FPzVbFGIzS3gIXFAFDiMePyNtHDoL" value="&quot;RA==&quot;"/>
    <we:property name="JhgCFC6PuT4SPAMrR3V6JVFKXG8FPzVbFGIzS3gIXFAFDiMePyNtHDoG" value="&quot;Rg==&quot;"/>
    <we:property name="JhgCFC6PuT4SPAMrR3V6JVFKXG8FPzVbFGIzS3gIXFAFDiMePyNtGSIRUg==" value="&quot;&quot;"/>
    <we:property name="JhgCFC6PuT4SPAMrR3V6JVFKXG8FPzVbFGIzS3gIXFAFDiMePyNtBy8OUg==" value="&quot;VU1LQQ==&quot;"/>
    <we:property name="JhgCFC6PuT4SPAMrR3V6JVFKXG8FPzVbFGIzS3gIXFAFDiMePyNtByIRUg==" value="&quot;&quot;"/>
    <we:property name="JhgCFC6PuT4SPAMrR3V6JVFKXG8FPzVbFGIzS3gIXFAFDiMePyNtGSIRUQ==" value="&quot;&quot;"/>
    <we:property name="JhgCFC6PuT4SPAMrR3V6JVFKXG8FPzVbFGIzS3gIXFAFDiMePyNtBy8OUQ==" value="&quot;VU1LQQ==&quot;"/>
    <we:property name="JhgCFC6PuT4SPAMrR3V6JVFKXG8FPzVbFGIzS3gIXFAFDiMePyNtByIRUQ==" value="&quot;&quot;"/>
    <we:property name="JhgCFC6PuT4SPAMrR3V6JVFKXG8FPzVbFGIzS3gIXFAFDiMePyNtGSIRUA==" value="&quot;&quot;"/>
    <we:property name="JhgCFC6PuT4SPAMrR3V6JVFKXG8FPzVbFGIzS3gIXFAFDiMePyNtBy8OUA==" value="&quot;VU1LQQ==&quot;"/>
    <we:property name="JhgCFC6PuT4SPAMrR3V6JVFKXG8FPzVbFGIzS3gIXFAFDiMePyNtByIRUA==" value="&quot;&quot;"/>
    <we:property name="JhgCFC6PuT4SPAMrR3V6JVFKXG8FPzVbFGIzS3gIXFAgAD0BOzNeEDlR" value="&quot;&quot;"/>
    <we:property name="JhgCFC6PuT4SPANCSngKVU1LQR5IPjhEVXlCT2pzVAIZDTkNKA5XGy0=" value="&quot;MiMx&quot;"/>
    <we:property name="JhgCFC6PuT4SPANCSngKVU1LQR5IPjhEVXlCT2pzVDwXGQIBNA==" value="&quot;RA==&quot;"/>
    <we:property name="JhgCFC6PuT4SPANCSngKVU1LQR5IPjhEVXlCT2pzVD4UCw==" value="&quot;&quot;"/>
    <we:property name="JhgCFC6PuT4SPANCSngKVU1LQR5IPjhEVXlCT2pzVAIZDTkNKA5cEC0=" value="&quot;RA==&quot;"/>
    <we:property name="JhgCFC6PuT4SPANCSngKVU1LQR5IPjhEVXlCT2pzVAIZDTkNKA5CBy8=" value="&quot;RV9GUX9YamA=&quot;"/>
    <we:property name="JhgCFC6PuT4SPANCSngKVU1LQR5IPjhEVXlCT2pzVAIZDTkNKA5BFiY=" value="&quot;RA==&quot;"/>
    <we:property name="JhgCFC6PuT4SPANCSngKVU1LQR5IPjhEVXlCT2pzVAIZDTkNKA5AGTI=" value="&quot;RQ==&quot;"/>
    <we:property name="JhgCFC6PuT4SPANCSngKVU1LQR5IPjhEVXlCT2pzVAIZDTkNKA5GGiY=" value="&quot;RV9GUA==&quot;"/>
    <we:property name="JhgCFC6PuT4SPANCSngKVU1LQR5IPjhEVXlCT2pzVAIZDTkNKA5RAy0=" value="&quot;RV9GUX9Z&quot;"/>
    <we:property name="JhgCFC6PuT4SPANCSngKVU1LQR5IPjhEVXlCT2pzVAIZDTkNKA5fBiY=" value="&quot;RQ==&quot;"/>
    <we:property name="JhgCFC6PuT4SPANCSngKVU1LQR5IPjhEVXlCT2pzVAIZDTkNKA5BBjA=" value="&quot;REFG&quot;"/>
    <we:property name="JhgCFC6PuT4SPANCSngKVU1LQR5IPjhEVXlCT2pzVAIZDTkNKA5ABi4=" value="&quot;RQ==&quot;"/>
    <we:property name="JhgCFC6PuT4SPANCSngKVU1LQR5IPjhEVXlCT2pzVAIZDTkNKA5fBz4=" value="&quot;RV9GVno=&quot;"/>
    <we:property name="JhgCFC6PuT4SPANCSngKVU1LQR5IPjhEVXlCT2pzVAIZDTkNKA5fGyM=" value="&quot;RkE=&quot;"/>
    <we:property name="JhgCFC6PuT4SPANCSngKVU1LQR5IPjhEVXlCT2pzVAIZDTkNKA5AFzw=" value="&quot;RA==&quot;"/>
    <we:property name="JhgCFC6PuT4SPANCSngKVU1LQR5IPjhEVXlCT2pzVAIZDTkNKA5cATg=" value="&quot;Rw==&quot;"/>
    <we:property name="JhgCFC6PuT4SPANCSngKVU1LQR5IPjhEVXlCT2pzVAIZDTkNKA5TFik=" value="&quot;RV9GUX4=&quot;"/>
    <we:property name="JhgCFC6PuT4SPANCSngKVU1LQR5IPjhEVXlCT2pzVAIZDTkNKA5AEDk=" value="&quot;QA==&quot;"/>
    <we:property name="JhgCFC6PuT4SPANCSngKVU1LQR5IPjhEVXlCT2pzVAIZDTkNKA5TBzk=" value="&quot;RA==&quot;"/>
    <we:property name="JhgCFC6PuT4SPANCSngKVU1LQR5IPjhEVXlCT2pzVAIZDTkNKA5BASs=" value="&quot;RQ==&quot;"/>
    <we:property name="JhgCFC6PuT4SPANCSngKVU1LQR5IPjhEVXlCT2pzVAIZDTkNKA5fED4=" value="&quot;Rw==&quot;"/>
    <we:property name="JhgCFC6PuT4SPANCSngKVU1LQR5IPjhEVXlCT2pzVAIZDTkNKA5BGik=" value="&quot;RQ==&quot;"/>
    <we:property name="JhgCFC6PuT4SPANCSngKVU1LQR5IPjhEVXlCT2pzVAIZDTkNKA5eBT4=" value="&quot;RQ==&quot;"/>
    <we:property name="JhgCFC6PuT4SPANCSngKVU1LQR5IPjhEVXlCT2pzVAIZDTkNKA5eBTo=" value="&quot;RQ==&quot;"/>
    <we:property name="JhgCFC6PuT4SPANCSngKVU1LQR5IPjhEVXlCT2pzVAIZDTkNKA5VFDo=" value="&quot;RV9GUX9YamA=&quot;"/>
    <we:property name="JhgCFC6PuT4SPANCSngKVU1LQR5IPjhEVXlCT2pzVAIZDTkNKA5bBTk=" value="&quot;RV9PWA==&quot;"/>
    <we:property name="JhgCFC6PuT4SPANCSngKVU1LQR5IPjhEVXlCT2pzVAIZDTkNKA5UECs=" value="&quot;RV9GUX9YamA=&quot;"/>
    <we:property name="JhgCFC6PuT4SPANCSngKVU1LQR5IPjhEVXlCT2pzVAIZDTkNKA5bBSM=" value="&quot;RA==&quot;"/>
    <we:property name="JhgCFC6PuT4SPANCSngKVU1LQR5IPjhEVXlCT2pzVAIZDTkNKA5bBS4=" value="&quot;Rg==&quot;"/>
    <we:property name="JhgCFC6PuT4SPAMrR3V6JVFKXG8FPzVbFGIzS3gIXFAFDiMePyNtGSIRXw==" value="&quot;&quot;"/>
    <we:property name="JhgCFC6PuT4SPAMrR3V6JVFKXG8FPzVbFGIzS3gIXFAFDiMePyNtBy8OXw==" value="&quot;VU1LQQ==&quot;"/>
    <we:property name="JhgCFC6PuT4SPAMrR3V6JVFKXG8FPzVbFGIzS3gIXFAFDiMePyNtByIRXw==" value="&quot;&quot;"/>
  </we:properties>
  <we:bindings>
    <we:binding id="Var$F$14" type="matrix" appref="{9CC2EB63-0CCB-43D8-A85D-FC32B9FED1BE}"/>
    <we:binding id="Var$F$15" type="matrix" appref="{C8CF06A8-68DA-4156-885C-D6C0B11D0FC6}"/>
    <we:binding id="Var$F$16" type="matrix" appref="{706BC3EE-CD34-465D-95CC-5F0870AC0A82}"/>
    <we:binding id="1Var0" type="matrix" appref="{958E9B2E-63D4-4576-93F2-2ACEC188838C}"/>
    <we:binding id="2Var0" type="matrix" appref="{D21254C8-762F-4572-A02A-08BAE276FF73}"/>
    <we:binding id="Var0" type="matrix" appref="{4FC19B42-5D70-4B32-ADE2-2F6619836AF8}"/>
    <we:binding id="Var$D$9:$F$9" type="matrix" appref="{84A28921-B2BB-4B6F-84E8-F670E2E84C1F}"/>
    <we:binding id="Var$F$14:$F$16" type="matrix" appref="{40EE0A53-9779-4D87-93FD-D4AC25448743}"/>
    <we:binding id="Var$C$11:$E$11" type="matrix" appref="{9B54CB13-998A-4CED-9B15-A10DD9D7025E}"/>
    <we:binding id="Situação II - P &lt;= Q div 3 (2)refEdit" type="matrix" appref="{111E8A66-9098-436F-A922-631B4743C135}"/>
    <we:binding id="Situação II - P &lt;= Q div 3 (2)Worker" type="matrix" appref="{DB802569-D7E8-4EC5-843D-D5D9F689EBC9}"/>
    <we:binding id="refEdit" type="matrix" appref="{2B010FD1-FA99-4865-BAD2-27BD17575F5C}"/>
    <we:binding id="Worker" type="matrix" appref="{51F62EAA-EF6F-4909-9BA7-CF841F8BD971}"/>
    <we:binding id="Obj" type="matrix" appref="{4663B0BC-A81F-49AE-A0DB-2BD39BE06F47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workbookViewId="0">
      <selection activeCell="A5" sqref="A5"/>
    </sheetView>
  </sheetViews>
  <sheetFormatPr defaultRowHeight="15" x14ac:dyDescent="0.25"/>
  <cols>
    <col min="1" max="1" width="174.42578125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6" spans="1:1" x14ac:dyDescent="0.25">
      <c r="A6" s="1" t="s">
        <v>4</v>
      </c>
    </row>
    <row r="7" spans="1:1" x14ac:dyDescent="0.25">
      <c r="A7" s="3" t="s">
        <v>5</v>
      </c>
    </row>
    <row r="8" spans="1:1" x14ac:dyDescent="0.25">
      <c r="A8" s="3" t="s">
        <v>6</v>
      </c>
    </row>
    <row r="9" spans="1:1" ht="30" x14ac:dyDescent="0.25">
      <c r="A9" s="3" t="s">
        <v>7</v>
      </c>
    </row>
    <row r="10" spans="1:1" ht="30" x14ac:dyDescent="0.25">
      <c r="A10" s="3" t="s">
        <v>8</v>
      </c>
    </row>
  </sheetData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4FC19B42-5D70-4B32-ADE2-2F6619836AF8}">
          <xm:f>#REF!</xm:f>
        </x15:webExtension>
        <x15:webExtension appRef="{84A28921-B2BB-4B6F-84E8-F670E2E84C1F}">
          <xm:f>#REF!</xm:f>
        </x15:webExtension>
        <x15:webExtension appRef="{111E8A66-9098-436F-A922-631B4743C135}">
          <xm:f>#REF!</xm:f>
        </x15:webExtension>
        <x15:webExtension appRef="{DB802569-D7E8-4EC5-843D-D5D9F689EBC9}">
          <xm:f>#REF!</xm:f>
        </x15:webExtension>
        <x15:webExtension appRef="{9CC2EB63-0CCB-43D8-A85D-FC32B9FED1BE}">
          <xm:f>#REF!</xm:f>
        </x15:webExtension>
        <x15:webExtension appRef="{C8CF06A8-68DA-4156-885C-D6C0B11D0FC6}">
          <xm:f>#REF!</xm:f>
        </x15:webExtension>
        <x15:webExtension appRef="{706BC3EE-CD34-465D-95CC-5F0870AC0A82}">
          <xm:f>#REF!</xm:f>
        </x15:webExtension>
        <x15:webExtension appRef="{958E9B2E-63D4-4576-93F2-2ACEC188838C}">
          <xm:f>#REF!</xm:f>
        </x15:webExtension>
        <x15:webExtension appRef="{D21254C8-762F-4572-A02A-08BAE276FF73}">
          <xm:f>#REF!</xm:f>
        </x15:webExtension>
        <x15:webExtension appRef="{40EE0A53-9779-4D87-93FD-D4AC25448743}">
          <xm:f>#REF!</xm:f>
        </x15:webExtension>
        <x15:webExtension appRef="{9B54CB13-998A-4CED-9B15-A10DD9D7025E}">
          <xm:f>#REF!</xm:f>
        </x15:webExtension>
        <x15:webExtension appRef="{2B010FD1-FA99-4865-BAD2-27BD17575F5C}">
          <xm:f>#REF!</xm:f>
        </x15:webExtension>
        <x15:webExtension appRef="{51F62EAA-EF6F-4909-9BA7-CF841F8BD971}">
          <xm:f>#REF!</xm:f>
        </x15:webExtension>
        <x15:webExtension appRef="{4663B0BC-A81F-49AE-A0DB-2BD39BE06F47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07723-EC2D-4934-97D3-53388F7C676B}">
  <dimension ref="B2:F28"/>
  <sheetViews>
    <sheetView workbookViewId="0">
      <selection activeCell="C9" sqref="C9"/>
    </sheetView>
  </sheetViews>
  <sheetFormatPr defaultRowHeight="15" x14ac:dyDescent="0.25"/>
  <cols>
    <col min="2" max="2" width="34.7109375" bestFit="1" customWidth="1"/>
    <col min="3" max="3" width="27.7109375" bestFit="1" customWidth="1"/>
    <col min="4" max="4" width="30" customWidth="1"/>
    <col min="5" max="5" width="28.42578125" bestFit="1" customWidth="1"/>
    <col min="6" max="6" width="6.140625" bestFit="1" customWidth="1"/>
    <col min="7" max="7" width="9.5703125" bestFit="1" customWidth="1"/>
    <col min="8" max="8" width="15" bestFit="1" customWidth="1"/>
  </cols>
  <sheetData>
    <row r="2" spans="2:5" x14ac:dyDescent="0.25">
      <c r="B2" s="8" t="s">
        <v>9</v>
      </c>
      <c r="C2" s="7" t="s">
        <v>10</v>
      </c>
      <c r="D2" s="26" t="s">
        <v>10</v>
      </c>
    </row>
    <row r="3" spans="2:5" ht="3" customHeight="1" x14ac:dyDescent="0.25">
      <c r="B3" s="4"/>
      <c r="C3" s="4"/>
      <c r="D3" s="4"/>
    </row>
    <row r="4" spans="2:5" x14ac:dyDescent="0.25">
      <c r="B4" s="4"/>
      <c r="C4" s="5" t="s">
        <v>11</v>
      </c>
      <c r="D4" s="6" t="s">
        <v>12</v>
      </c>
    </row>
    <row r="5" spans="2:5" ht="3" customHeight="1" x14ac:dyDescent="0.25">
      <c r="B5" s="2"/>
      <c r="C5" s="2"/>
      <c r="D5" s="2"/>
    </row>
    <row r="6" spans="2:5" x14ac:dyDescent="0.25">
      <c r="B6" s="2"/>
      <c r="C6" s="9" t="s">
        <v>13</v>
      </c>
      <c r="D6" s="2"/>
    </row>
    <row r="7" spans="2:5" ht="3" customHeight="1" x14ac:dyDescent="0.25"/>
    <row r="8" spans="2:5" x14ac:dyDescent="0.25">
      <c r="B8" t="s">
        <v>14</v>
      </c>
      <c r="C8" t="s">
        <v>19</v>
      </c>
      <c r="D8" s="10">
        <f>16</f>
        <v>16</v>
      </c>
      <c r="E8" t="s">
        <v>31</v>
      </c>
    </row>
    <row r="9" spans="2:5" x14ac:dyDescent="0.25">
      <c r="B9" t="s">
        <v>15</v>
      </c>
      <c r="C9" s="11">
        <f>80000</f>
        <v>80000</v>
      </c>
      <c r="D9" s="10">
        <f>90</f>
        <v>90</v>
      </c>
      <c r="E9" t="s">
        <v>49</v>
      </c>
    </row>
    <row r="10" spans="2:5" x14ac:dyDescent="0.25">
      <c r="B10" t="s">
        <v>16</v>
      </c>
      <c r="C10" s="11">
        <f>20000</f>
        <v>20000</v>
      </c>
      <c r="D10" s="10">
        <f>4.5</f>
        <v>4.5</v>
      </c>
      <c r="E10" t="s">
        <v>29</v>
      </c>
    </row>
    <row r="11" spans="2:5" x14ac:dyDescent="0.25">
      <c r="B11" t="s">
        <v>17</v>
      </c>
      <c r="C11" s="11">
        <f>32000</f>
        <v>32000</v>
      </c>
      <c r="D11" t="s">
        <v>19</v>
      </c>
    </row>
    <row r="12" spans="2:5" x14ac:dyDescent="0.25">
      <c r="B12" t="s">
        <v>18</v>
      </c>
      <c r="C12" s="11">
        <f>60000</f>
        <v>60000</v>
      </c>
      <c r="D12" t="s">
        <v>19</v>
      </c>
    </row>
    <row r="15" spans="2:5" x14ac:dyDescent="0.25">
      <c r="B15" s="6" t="s">
        <v>25</v>
      </c>
      <c r="C15" s="13" t="s">
        <v>26</v>
      </c>
      <c r="D15" s="13" t="s">
        <v>27</v>
      </c>
      <c r="E15" s="14" t="s">
        <v>28</v>
      </c>
    </row>
    <row r="16" spans="2:5" ht="3" customHeight="1" x14ac:dyDescent="0.25">
      <c r="B16" s="15"/>
      <c r="C16" s="4"/>
      <c r="D16" s="4"/>
      <c r="E16" s="16"/>
    </row>
    <row r="17" spans="2:6" ht="15" customHeight="1" x14ac:dyDescent="0.25">
      <c r="B17" s="17" t="s">
        <v>9</v>
      </c>
      <c r="C17" s="18" t="s">
        <v>32</v>
      </c>
      <c r="D17" s="18" t="s">
        <v>33</v>
      </c>
      <c r="E17" s="19" t="s">
        <v>34</v>
      </c>
    </row>
    <row r="18" spans="2:6" x14ac:dyDescent="0.25">
      <c r="B18" t="s">
        <v>14</v>
      </c>
      <c r="C18">
        <v>27</v>
      </c>
      <c r="D18">
        <v>12</v>
      </c>
      <c r="E18" t="s">
        <v>19</v>
      </c>
      <c r="F18" t="s">
        <v>31</v>
      </c>
    </row>
    <row r="19" spans="2:6" x14ac:dyDescent="0.25">
      <c r="B19" t="s">
        <v>15</v>
      </c>
      <c r="C19">
        <v>1.5</v>
      </c>
      <c r="D19">
        <f>36/60</f>
        <v>0.6</v>
      </c>
      <c r="E19">
        <f>48/60</f>
        <v>0.8</v>
      </c>
      <c r="F19" t="s">
        <v>30</v>
      </c>
    </row>
    <row r="20" spans="2:6" x14ac:dyDescent="0.25">
      <c r="B20" t="s">
        <v>16</v>
      </c>
      <c r="C20" s="12">
        <v>45</v>
      </c>
      <c r="D20" s="12">
        <v>30</v>
      </c>
      <c r="E20" s="12">
        <v>120</v>
      </c>
      <c r="F20" t="s">
        <v>29</v>
      </c>
    </row>
    <row r="22" spans="2:6" x14ac:dyDescent="0.25">
      <c r="B22" t="s">
        <v>20</v>
      </c>
      <c r="C22">
        <v>800</v>
      </c>
      <c r="D22" t="s">
        <v>21</v>
      </c>
    </row>
    <row r="23" spans="2:6" x14ac:dyDescent="0.25">
      <c r="C23" t="s">
        <v>23</v>
      </c>
      <c r="D23" t="s">
        <v>24</v>
      </c>
    </row>
    <row r="24" spans="2:6" x14ac:dyDescent="0.25">
      <c r="B24" t="s">
        <v>22</v>
      </c>
      <c r="C24">
        <v>4</v>
      </c>
      <c r="D24">
        <v>6</v>
      </c>
    </row>
    <row r="26" spans="2:6" x14ac:dyDescent="0.25">
      <c r="B26" t="s">
        <v>58</v>
      </c>
      <c r="C26">
        <f>24000</f>
        <v>24000</v>
      </c>
    </row>
    <row r="27" spans="2:6" x14ac:dyDescent="0.25">
      <c r="B27" t="s">
        <v>35</v>
      </c>
      <c r="C27" s="12">
        <f>272000</f>
        <v>272000</v>
      </c>
      <c r="D27" t="s">
        <v>36</v>
      </c>
    </row>
    <row r="28" spans="2:6" x14ac:dyDescent="0.25">
      <c r="C28">
        <f>76000</f>
        <v>76000</v>
      </c>
      <c r="D28" t="s">
        <v>37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92ED7-22EC-44F0-9820-AE611F649C3D}">
  <dimension ref="B2:L37"/>
  <sheetViews>
    <sheetView topLeftCell="A4" workbookViewId="0">
      <selection activeCell="C32" sqref="C32"/>
    </sheetView>
  </sheetViews>
  <sheetFormatPr defaultRowHeight="15" x14ac:dyDescent="0.25"/>
  <cols>
    <col min="1" max="1" width="3.7109375" customWidth="1"/>
    <col min="2" max="2" width="34.7109375" bestFit="1" customWidth="1"/>
    <col min="3" max="4" width="27.7109375" bestFit="1" customWidth="1"/>
    <col min="5" max="5" width="28.42578125" bestFit="1" customWidth="1"/>
    <col min="6" max="6" width="24.42578125" bestFit="1" customWidth="1"/>
    <col min="7" max="8" width="24" bestFit="1" customWidth="1"/>
    <col min="9" max="9" width="17.7109375" bestFit="1" customWidth="1"/>
    <col min="10" max="10" width="20.42578125" bestFit="1" customWidth="1"/>
    <col min="11" max="11" width="14.28515625" bestFit="1" customWidth="1"/>
    <col min="12" max="12" width="19.140625" bestFit="1" customWidth="1"/>
  </cols>
  <sheetData>
    <row r="2" spans="2:7" x14ac:dyDescent="0.25">
      <c r="B2" s="6" t="s">
        <v>25</v>
      </c>
      <c r="C2" s="13" t="s">
        <v>26</v>
      </c>
      <c r="D2" s="13" t="s">
        <v>27</v>
      </c>
      <c r="E2" s="14" t="s">
        <v>28</v>
      </c>
    </row>
    <row r="3" spans="2:7" ht="3" customHeight="1" x14ac:dyDescent="0.25">
      <c r="B3" s="15"/>
      <c r="C3" s="4"/>
      <c r="D3" s="4"/>
      <c r="E3" s="16"/>
    </row>
    <row r="4" spans="2:7" ht="15" customHeight="1" x14ac:dyDescent="0.25">
      <c r="B4" s="17" t="s">
        <v>9</v>
      </c>
      <c r="C4" s="18" t="s">
        <v>39</v>
      </c>
      <c r="D4" s="18" t="s">
        <v>40</v>
      </c>
      <c r="E4" s="19" t="s">
        <v>41</v>
      </c>
    </row>
    <row r="5" spans="2:7" x14ac:dyDescent="0.25">
      <c r="B5" t="s">
        <v>14</v>
      </c>
      <c r="C5">
        <f>'Problema 1 (enunciado)'!C18/9</f>
        <v>3</v>
      </c>
      <c r="D5">
        <f>'Problema 1 (enunciado)'!D18/6</f>
        <v>2</v>
      </c>
      <c r="E5">
        <v>0</v>
      </c>
      <c r="F5" t="s">
        <v>50</v>
      </c>
      <c r="G5">
        <f>C5+D5+E5</f>
        <v>5</v>
      </c>
    </row>
    <row r="6" spans="2:7" x14ac:dyDescent="0.25">
      <c r="B6" t="s">
        <v>15</v>
      </c>
      <c r="C6" s="20">
        <f>'Problema 1 (enunciado)'!C19/9</f>
        <v>0.16666666666666666</v>
      </c>
      <c r="D6">
        <f>'Problema 1 (enunciado)'!D19/6</f>
        <v>9.9999999999999992E-2</v>
      </c>
      <c r="E6" s="20">
        <f>'Problema 1 (enunciado)'!E19/12</f>
        <v>6.6666666666666666E-2</v>
      </c>
      <c r="F6" t="s">
        <v>51</v>
      </c>
      <c r="G6" s="20">
        <f>C6+D6+E6</f>
        <v>0.33333333333333331</v>
      </c>
    </row>
    <row r="7" spans="2:7" x14ac:dyDescent="0.25">
      <c r="B7" t="s">
        <v>16</v>
      </c>
      <c r="C7" s="12">
        <f>'Problema 1 (enunciado)'!C20/9</f>
        <v>5</v>
      </c>
      <c r="D7" s="12">
        <f>'Problema 1 (enunciado)'!D20/6</f>
        <v>5</v>
      </c>
      <c r="E7" s="12">
        <f>'Problema 1 (enunciado)'!E20/12</f>
        <v>10</v>
      </c>
      <c r="F7" t="s">
        <v>52</v>
      </c>
      <c r="G7" s="12">
        <f>C7+D7+E7</f>
        <v>20</v>
      </c>
    </row>
    <row r="10" spans="2:7" x14ac:dyDescent="0.25">
      <c r="B10" t="s">
        <v>42</v>
      </c>
      <c r="C10">
        <f>1/G6</f>
        <v>3</v>
      </c>
    </row>
    <row r="11" spans="2:7" x14ac:dyDescent="0.25">
      <c r="B11" t="s">
        <v>20</v>
      </c>
      <c r="C11">
        <f>'Problema 1 (enunciado)'!C22</f>
        <v>800</v>
      </c>
      <c r="D11" t="s">
        <v>38</v>
      </c>
    </row>
    <row r="12" spans="2:7" x14ac:dyDescent="0.25">
      <c r="B12" t="s">
        <v>43</v>
      </c>
      <c r="C12">
        <f>C10*C11</f>
        <v>2400</v>
      </c>
    </row>
    <row r="13" spans="2:7" x14ac:dyDescent="0.25">
      <c r="C13" s="21" t="s">
        <v>23</v>
      </c>
      <c r="D13" s="21" t="s">
        <v>24</v>
      </c>
    </row>
    <row r="14" spans="2:7" x14ac:dyDescent="0.25">
      <c r="B14" t="s">
        <v>22</v>
      </c>
      <c r="C14" s="21">
        <v>4</v>
      </c>
      <c r="D14" s="21">
        <v>6</v>
      </c>
    </row>
    <row r="16" spans="2:7" x14ac:dyDescent="0.25">
      <c r="B16" t="s">
        <v>35</v>
      </c>
      <c r="C16" s="12">
        <v>272000</v>
      </c>
      <c r="D16" t="s">
        <v>36</v>
      </c>
    </row>
    <row r="17" spans="2:12" x14ac:dyDescent="0.25">
      <c r="C17">
        <v>76000</v>
      </c>
      <c r="D17" t="s">
        <v>37</v>
      </c>
    </row>
    <row r="19" spans="2:12" x14ac:dyDescent="0.25">
      <c r="B19" s="8" t="s">
        <v>9</v>
      </c>
      <c r="C19" s="7" t="s">
        <v>10</v>
      </c>
      <c r="D19" s="5" t="s">
        <v>10</v>
      </c>
      <c r="E19" s="7" t="s">
        <v>46</v>
      </c>
      <c r="F19" s="5" t="s">
        <v>46</v>
      </c>
      <c r="G19" s="7" t="s">
        <v>47</v>
      </c>
      <c r="H19" s="5" t="s">
        <v>47</v>
      </c>
    </row>
    <row r="20" spans="2:12" x14ac:dyDescent="0.25">
      <c r="B20" s="4"/>
      <c r="C20" s="4"/>
      <c r="D20" s="4"/>
      <c r="E20" s="4"/>
      <c r="F20" s="4"/>
      <c r="G20" s="4"/>
      <c r="H20" s="4"/>
    </row>
    <row r="21" spans="2:12" x14ac:dyDescent="0.25">
      <c r="B21" s="4"/>
      <c r="C21" s="5" t="s">
        <v>11</v>
      </c>
      <c r="D21" s="5" t="s">
        <v>44</v>
      </c>
      <c r="E21" s="5" t="s">
        <v>11</v>
      </c>
      <c r="F21" s="5" t="s">
        <v>44</v>
      </c>
      <c r="G21" s="5" t="s">
        <v>11</v>
      </c>
      <c r="H21" s="5" t="s">
        <v>44</v>
      </c>
    </row>
    <row r="22" spans="2:12" x14ac:dyDescent="0.25">
      <c r="B22" s="2"/>
      <c r="C22" s="2"/>
      <c r="D22" s="2"/>
      <c r="E22" s="2"/>
      <c r="F22" s="2"/>
      <c r="G22" s="2"/>
      <c r="H22" s="2"/>
    </row>
    <row r="23" spans="2:12" x14ac:dyDescent="0.25">
      <c r="B23" s="2"/>
      <c r="C23" s="9" t="s">
        <v>13</v>
      </c>
      <c r="D23" s="9" t="s">
        <v>45</v>
      </c>
      <c r="E23" s="9" t="s">
        <v>13</v>
      </c>
      <c r="F23" s="9" t="s">
        <v>45</v>
      </c>
      <c r="G23" s="9" t="s">
        <v>13</v>
      </c>
      <c r="H23" s="9" t="s">
        <v>45</v>
      </c>
    </row>
    <row r="25" spans="2:12" x14ac:dyDescent="0.25">
      <c r="B25" s="23" t="s">
        <v>14</v>
      </c>
      <c r="C25" s="9" t="str">
        <f>'Problema 1 (enunciado)'!C8</f>
        <v>-</v>
      </c>
      <c r="D25" s="24">
        <f>'Problema 1 (enunciado)'!D8*'Problema 1 (calculos)'!G5</f>
        <v>80</v>
      </c>
      <c r="E25" s="9" t="s">
        <v>19</v>
      </c>
      <c r="F25" s="28">
        <f>D25</f>
        <v>80</v>
      </c>
      <c r="G25" s="22"/>
      <c r="H25" s="28">
        <f>D25</f>
        <v>80</v>
      </c>
    </row>
    <row r="26" spans="2:12" x14ac:dyDescent="0.25">
      <c r="B26" s="23" t="s">
        <v>15</v>
      </c>
      <c r="C26" s="25">
        <f>'Problema 1 (enunciado)'!C9</f>
        <v>80000</v>
      </c>
      <c r="D26" s="24">
        <f>'Problema 1 (enunciado)'!D9*'Problema 1 (calculos)'!G6</f>
        <v>30</v>
      </c>
      <c r="E26" s="22">
        <f>C26*1.2</f>
        <v>96000</v>
      </c>
      <c r="F26" s="28">
        <f t="shared" ref="F26:F29" si="0">D26</f>
        <v>30</v>
      </c>
      <c r="G26" s="25">
        <f>C26*1.5</f>
        <v>120000</v>
      </c>
      <c r="H26" s="28">
        <f t="shared" ref="H26:H29" si="1">D26</f>
        <v>30</v>
      </c>
    </row>
    <row r="27" spans="2:12" x14ac:dyDescent="0.25">
      <c r="B27" s="23" t="s">
        <v>16</v>
      </c>
      <c r="C27" s="25">
        <f>'Problema 1 (enunciado)'!C10</f>
        <v>20000</v>
      </c>
      <c r="D27" s="24">
        <f>'Problema 1 (enunciado)'!D10*'Problema 1 (calculos)'!G7</f>
        <v>90</v>
      </c>
      <c r="E27" s="9" t="s">
        <v>19</v>
      </c>
      <c r="F27" s="28">
        <f t="shared" si="0"/>
        <v>90</v>
      </c>
      <c r="G27" s="27" t="s">
        <v>19</v>
      </c>
      <c r="H27" s="28">
        <f t="shared" si="1"/>
        <v>90</v>
      </c>
    </row>
    <row r="28" spans="2:12" x14ac:dyDescent="0.25">
      <c r="B28" s="23" t="s">
        <v>17</v>
      </c>
      <c r="C28" s="25">
        <f>'Problema 1 (enunciado)'!C11</f>
        <v>32000</v>
      </c>
      <c r="D28" s="9" t="s">
        <v>19</v>
      </c>
      <c r="E28" s="9" t="s">
        <v>19</v>
      </c>
      <c r="F28" s="28" t="str">
        <f t="shared" si="0"/>
        <v>-</v>
      </c>
      <c r="G28" s="25">
        <f>'Problema 1 (enunciado)'!C26</f>
        <v>24000</v>
      </c>
      <c r="H28" s="28" t="str">
        <f t="shared" si="1"/>
        <v>-</v>
      </c>
    </row>
    <row r="29" spans="2:12" x14ac:dyDescent="0.25">
      <c r="B29" s="23" t="s">
        <v>18</v>
      </c>
      <c r="C29" s="25">
        <f>'Problema 1 (enunciado)'!C12</f>
        <v>60000</v>
      </c>
      <c r="D29" s="9" t="s">
        <v>19</v>
      </c>
      <c r="E29" s="9" t="s">
        <v>19</v>
      </c>
      <c r="F29" s="28" t="str">
        <f t="shared" si="0"/>
        <v>-</v>
      </c>
      <c r="G29" s="27" t="s">
        <v>19</v>
      </c>
      <c r="H29" s="28" t="str">
        <f t="shared" si="1"/>
        <v>-</v>
      </c>
    </row>
    <row r="31" spans="2:12" x14ac:dyDescent="0.25">
      <c r="B31" s="4" t="s">
        <v>48</v>
      </c>
      <c r="C31" s="10">
        <f>SUM(C25:C29)</f>
        <v>192000</v>
      </c>
      <c r="D31" s="10">
        <f t="shared" ref="D31:H31" si="2">SUM(D25:D29)</f>
        <v>200</v>
      </c>
      <c r="E31" s="10">
        <f t="shared" si="2"/>
        <v>96000</v>
      </c>
      <c r="F31" s="10">
        <f t="shared" si="2"/>
        <v>200</v>
      </c>
      <c r="G31" s="10">
        <f t="shared" si="2"/>
        <v>144000</v>
      </c>
      <c r="H31" s="10">
        <f t="shared" si="2"/>
        <v>200</v>
      </c>
    </row>
    <row r="32" spans="2:12" x14ac:dyDescent="0.25">
      <c r="I32" s="1" t="s">
        <v>56</v>
      </c>
      <c r="J32" s="1" t="s">
        <v>57</v>
      </c>
      <c r="K32" s="1" t="s">
        <v>60</v>
      </c>
      <c r="L32" s="1" t="s">
        <v>59</v>
      </c>
    </row>
    <row r="33" spans="2:12" ht="30" x14ac:dyDescent="0.25">
      <c r="B33" s="29" t="s">
        <v>53</v>
      </c>
      <c r="C33" s="30">
        <f>C12*D31+C31</f>
        <v>672000</v>
      </c>
      <c r="D33" s="30"/>
      <c r="E33" s="30">
        <f>(4000-C12)*F31+E31</f>
        <v>416000</v>
      </c>
      <c r="G33" s="30"/>
      <c r="I33" s="30">
        <f>C33+E33+G33</f>
        <v>1088000</v>
      </c>
      <c r="J33" s="30">
        <f>I33/4000</f>
        <v>272</v>
      </c>
      <c r="K33" s="30">
        <f>I33+'Problema 1 (enunciado)'!C27</f>
        <v>1360000</v>
      </c>
      <c r="L33" s="30">
        <f>K33/4000</f>
        <v>340</v>
      </c>
    </row>
    <row r="34" spans="2:12" x14ac:dyDescent="0.25">
      <c r="B34" t="s">
        <v>54</v>
      </c>
      <c r="C34" s="30">
        <f>C33/C12</f>
        <v>280</v>
      </c>
      <c r="E34" s="30">
        <f>E33/(4000-C12)</f>
        <v>260</v>
      </c>
      <c r="G34" s="30"/>
    </row>
    <row r="36" spans="2:12" ht="30" x14ac:dyDescent="0.25">
      <c r="B36" s="29" t="s">
        <v>55</v>
      </c>
      <c r="C36" s="30">
        <f>C12*D31+C31</f>
        <v>672000</v>
      </c>
      <c r="E36" s="30">
        <f>C12*F31+E31</f>
        <v>576000</v>
      </c>
      <c r="G36" s="30">
        <f>(6000-C12-C12)*H31+G31</f>
        <v>384000</v>
      </c>
      <c r="I36" s="30">
        <f>C36+E36+G36</f>
        <v>1632000</v>
      </c>
      <c r="J36" s="30">
        <f>I36/6000</f>
        <v>272</v>
      </c>
      <c r="K36" s="30">
        <f>I36+'Problema 1 (enunciado)'!C27+'Problema 1 (enunciado)'!C28</f>
        <v>1980000</v>
      </c>
      <c r="L36" s="30">
        <f>K36/6000</f>
        <v>330</v>
      </c>
    </row>
    <row r="37" spans="2:12" x14ac:dyDescent="0.25">
      <c r="B37" t="s">
        <v>54</v>
      </c>
      <c r="C37" s="30">
        <f>C36/C12</f>
        <v>280</v>
      </c>
      <c r="E37" s="30">
        <f>E36/C12</f>
        <v>240</v>
      </c>
      <c r="G37" s="30">
        <f>G36/(6000-C12-C12)</f>
        <v>320</v>
      </c>
    </row>
  </sheetData>
  <pageMargins left="0.7" right="0.7" top="0.75" bottom="0.75" header="0.3" footer="0.3"/>
  <pageSetup orientation="portrait" r:id="rId1"/>
  <ignoredErrors>
    <ignoredError sqref="K33 K3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9E08-268A-41C8-B869-A106BBCA7C13}">
  <dimension ref="B2:L37"/>
  <sheetViews>
    <sheetView workbookViewId="0"/>
  </sheetViews>
  <sheetFormatPr defaultRowHeight="15" x14ac:dyDescent="0.25"/>
  <cols>
    <col min="1" max="1" width="3.7109375" customWidth="1"/>
    <col min="2" max="2" width="34.7109375" bestFit="1" customWidth="1"/>
    <col min="3" max="4" width="27.7109375" bestFit="1" customWidth="1"/>
    <col min="5" max="5" width="28.42578125" bestFit="1" customWidth="1"/>
    <col min="6" max="6" width="24.42578125" bestFit="1" customWidth="1"/>
    <col min="7" max="8" width="24" bestFit="1" customWidth="1"/>
    <col min="9" max="9" width="17.7109375" bestFit="1" customWidth="1"/>
    <col min="10" max="10" width="20.42578125" bestFit="1" customWidth="1"/>
    <col min="11" max="11" width="14.28515625" bestFit="1" customWidth="1"/>
    <col min="12" max="12" width="19.140625" bestFit="1" customWidth="1"/>
  </cols>
  <sheetData>
    <row r="2" spans="2:7" x14ac:dyDescent="0.25">
      <c r="B2" s="6" t="s">
        <v>25</v>
      </c>
      <c r="C2" s="13" t="s">
        <v>26</v>
      </c>
      <c r="D2" s="13" t="s">
        <v>27</v>
      </c>
      <c r="E2" s="14" t="s">
        <v>28</v>
      </c>
    </row>
    <row r="3" spans="2:7" ht="3" customHeight="1" x14ac:dyDescent="0.25">
      <c r="B3" s="15"/>
      <c r="C3" s="4"/>
      <c r="D3" s="4"/>
      <c r="E3" s="16"/>
    </row>
    <row r="4" spans="2:7" ht="15" customHeight="1" x14ac:dyDescent="0.25">
      <c r="B4" s="17" t="s">
        <v>9</v>
      </c>
      <c r="C4" s="18" t="s">
        <v>39</v>
      </c>
      <c r="D4" s="18" t="s">
        <v>40</v>
      </c>
      <c r="E4" s="19" t="s">
        <v>41</v>
      </c>
    </row>
    <row r="5" spans="2:7" x14ac:dyDescent="0.25">
      <c r="B5" t="s">
        <v>14</v>
      </c>
      <c r="C5">
        <f>'Problema 1 (enunciado)'!C18/9</f>
        <v>3</v>
      </c>
      <c r="D5">
        <f>'Problema 1 (enunciado)'!D18/6</f>
        <v>2</v>
      </c>
      <c r="E5">
        <v>0</v>
      </c>
      <c r="F5" t="s">
        <v>50</v>
      </c>
      <c r="G5">
        <f>C5+D5+E5</f>
        <v>5</v>
      </c>
    </row>
    <row r="6" spans="2:7" x14ac:dyDescent="0.25">
      <c r="B6" t="s">
        <v>15</v>
      </c>
      <c r="C6" s="20">
        <f>'Problema 1 (enunciado)'!C19/9</f>
        <v>0.16666666666666666</v>
      </c>
      <c r="D6">
        <f>'Problema 1 (enunciado)'!D19/6</f>
        <v>9.9999999999999992E-2</v>
      </c>
      <c r="E6" s="20">
        <f>'Problema 1 (enunciado)'!E19/12</f>
        <v>6.6666666666666666E-2</v>
      </c>
      <c r="F6" t="s">
        <v>51</v>
      </c>
      <c r="G6" s="20">
        <f>C6+D6+E6</f>
        <v>0.33333333333333331</v>
      </c>
    </row>
    <row r="7" spans="2:7" x14ac:dyDescent="0.25">
      <c r="B7" t="s">
        <v>16</v>
      </c>
      <c r="C7" s="12">
        <f>'Problema 1 (enunciado)'!C20/9</f>
        <v>5</v>
      </c>
      <c r="D7" s="12">
        <f>'Problema 1 (enunciado)'!D20/6</f>
        <v>5</v>
      </c>
      <c r="E7" s="12">
        <f>'Problema 1 (enunciado)'!E20/12</f>
        <v>10</v>
      </c>
      <c r="F7" t="s">
        <v>52</v>
      </c>
      <c r="G7" s="12">
        <f>C7+D7+E7</f>
        <v>20</v>
      </c>
    </row>
    <row r="10" spans="2:7" x14ac:dyDescent="0.25">
      <c r="B10" t="s">
        <v>42</v>
      </c>
      <c r="C10">
        <f>1/G6</f>
        <v>3</v>
      </c>
    </row>
    <row r="11" spans="2:7" x14ac:dyDescent="0.25">
      <c r="B11" t="s">
        <v>20</v>
      </c>
      <c r="C11">
        <f>'Problema 1 (enunciado)'!C22</f>
        <v>800</v>
      </c>
      <c r="D11" t="s">
        <v>38</v>
      </c>
    </row>
    <row r="12" spans="2:7" x14ac:dyDescent="0.25">
      <c r="B12" t="s">
        <v>43</v>
      </c>
      <c r="C12">
        <f>C10*C11</f>
        <v>2400</v>
      </c>
    </row>
    <row r="13" spans="2:7" x14ac:dyDescent="0.25">
      <c r="C13" s="21" t="s">
        <v>23</v>
      </c>
      <c r="D13" s="21" t="s">
        <v>24</v>
      </c>
    </row>
    <row r="14" spans="2:7" x14ac:dyDescent="0.25">
      <c r="B14" t="s">
        <v>22</v>
      </c>
      <c r="C14" s="21">
        <v>4</v>
      </c>
      <c r="D14" s="21">
        <v>6</v>
      </c>
    </row>
    <row r="16" spans="2:7" x14ac:dyDescent="0.25">
      <c r="B16" t="s">
        <v>35</v>
      </c>
      <c r="C16" s="12">
        <v>272000</v>
      </c>
      <c r="D16" t="s">
        <v>36</v>
      </c>
    </row>
    <row r="17" spans="2:12" x14ac:dyDescent="0.25">
      <c r="C17">
        <v>76000</v>
      </c>
      <c r="D17" t="s">
        <v>37</v>
      </c>
    </row>
    <row r="19" spans="2:12" x14ac:dyDescent="0.25">
      <c r="B19" s="8" t="s">
        <v>9</v>
      </c>
      <c r="C19" s="7" t="s">
        <v>10</v>
      </c>
      <c r="D19" s="5" t="s">
        <v>10</v>
      </c>
      <c r="E19" s="7" t="s">
        <v>46</v>
      </c>
      <c r="F19" s="5" t="s">
        <v>46</v>
      </c>
      <c r="G19" s="7" t="s">
        <v>47</v>
      </c>
      <c r="H19" s="5" t="s">
        <v>47</v>
      </c>
    </row>
    <row r="20" spans="2:12" x14ac:dyDescent="0.25">
      <c r="B20" s="4"/>
      <c r="C20" s="4"/>
      <c r="D20" s="4"/>
      <c r="E20" s="4"/>
      <c r="F20" s="4"/>
      <c r="G20" s="4"/>
      <c r="H20" s="4"/>
    </row>
    <row r="21" spans="2:12" x14ac:dyDescent="0.25">
      <c r="B21" s="4"/>
      <c r="C21" s="5" t="s">
        <v>11</v>
      </c>
      <c r="D21" s="5" t="s">
        <v>44</v>
      </c>
      <c r="E21" s="5" t="s">
        <v>11</v>
      </c>
      <c r="F21" s="5" t="s">
        <v>44</v>
      </c>
      <c r="G21" s="5" t="s">
        <v>11</v>
      </c>
      <c r="H21" s="5" t="s">
        <v>44</v>
      </c>
    </row>
    <row r="22" spans="2:12" x14ac:dyDescent="0.25">
      <c r="B22" s="2"/>
      <c r="C22" s="2"/>
      <c r="D22" s="2"/>
      <c r="E22" s="2"/>
      <c r="F22" s="2"/>
      <c r="G22" s="2"/>
      <c r="H22" s="2"/>
    </row>
    <row r="23" spans="2:12" x14ac:dyDescent="0.25">
      <c r="B23" s="2"/>
      <c r="C23" s="9" t="s">
        <v>13</v>
      </c>
      <c r="D23" s="9" t="s">
        <v>45</v>
      </c>
      <c r="E23" s="9" t="s">
        <v>13</v>
      </c>
      <c r="F23" s="9" t="s">
        <v>45</v>
      </c>
      <c r="G23" s="9" t="s">
        <v>13</v>
      </c>
      <c r="H23" s="9" t="s">
        <v>45</v>
      </c>
    </row>
    <row r="25" spans="2:12" x14ac:dyDescent="0.25">
      <c r="B25" s="23" t="s">
        <v>14</v>
      </c>
      <c r="C25" s="9" t="str">
        <f>'Problema 1 (enunciado)'!C8</f>
        <v>-</v>
      </c>
      <c r="D25" s="24">
        <f>'Problema 1 (enunciado)'!D8*'Problema 1 (graficos)'!G5</f>
        <v>80</v>
      </c>
      <c r="E25" s="9" t="s">
        <v>19</v>
      </c>
      <c r="F25" s="28">
        <f>D25</f>
        <v>80</v>
      </c>
      <c r="G25" s="22"/>
      <c r="H25" s="28">
        <f>D25</f>
        <v>80</v>
      </c>
    </row>
    <row r="26" spans="2:12" x14ac:dyDescent="0.25">
      <c r="B26" s="23" t="s">
        <v>15</v>
      </c>
      <c r="C26" s="25">
        <f>'Problema 1 (enunciado)'!C9</f>
        <v>80000</v>
      </c>
      <c r="D26" s="24">
        <f>'Problema 1 (enunciado)'!D9*'Problema 1 (graficos)'!G6</f>
        <v>30</v>
      </c>
      <c r="E26" s="22">
        <f>C26*1.2</f>
        <v>96000</v>
      </c>
      <c r="F26" s="28">
        <f t="shared" ref="F26:F29" si="0">D26</f>
        <v>30</v>
      </c>
      <c r="G26" s="25">
        <f>C26*1.5</f>
        <v>120000</v>
      </c>
      <c r="H26" s="28">
        <f t="shared" ref="H26:H29" si="1">D26</f>
        <v>30</v>
      </c>
    </row>
    <row r="27" spans="2:12" x14ac:dyDescent="0.25">
      <c r="B27" s="23" t="s">
        <v>16</v>
      </c>
      <c r="C27" s="25">
        <f>'Problema 1 (enunciado)'!C10</f>
        <v>20000</v>
      </c>
      <c r="D27" s="24">
        <f>'Problema 1 (enunciado)'!D10*'Problema 1 (graficos)'!G7</f>
        <v>90</v>
      </c>
      <c r="E27" s="9" t="s">
        <v>19</v>
      </c>
      <c r="F27" s="28">
        <f t="shared" si="0"/>
        <v>90</v>
      </c>
      <c r="G27" s="27" t="s">
        <v>19</v>
      </c>
      <c r="H27" s="28">
        <f t="shared" si="1"/>
        <v>90</v>
      </c>
    </row>
    <row r="28" spans="2:12" x14ac:dyDescent="0.25">
      <c r="B28" s="23" t="s">
        <v>17</v>
      </c>
      <c r="C28" s="25">
        <f>'Problema 1 (enunciado)'!C11</f>
        <v>32000</v>
      </c>
      <c r="D28" s="9" t="s">
        <v>19</v>
      </c>
      <c r="E28" s="9" t="s">
        <v>19</v>
      </c>
      <c r="F28" s="28" t="str">
        <f t="shared" si="0"/>
        <v>-</v>
      </c>
      <c r="G28" s="25">
        <f>'Problema 1 (enunciado)'!C26</f>
        <v>24000</v>
      </c>
      <c r="H28" s="28" t="str">
        <f t="shared" si="1"/>
        <v>-</v>
      </c>
    </row>
    <row r="29" spans="2:12" x14ac:dyDescent="0.25">
      <c r="B29" s="23" t="s">
        <v>18</v>
      </c>
      <c r="C29" s="25">
        <f>'Problema 1 (enunciado)'!C12</f>
        <v>60000</v>
      </c>
      <c r="D29" s="9" t="s">
        <v>19</v>
      </c>
      <c r="E29" s="9" t="s">
        <v>19</v>
      </c>
      <c r="F29" s="28" t="str">
        <f t="shared" si="0"/>
        <v>-</v>
      </c>
      <c r="G29" s="27" t="s">
        <v>19</v>
      </c>
      <c r="H29" s="28" t="str">
        <f t="shared" si="1"/>
        <v>-</v>
      </c>
    </row>
    <row r="31" spans="2:12" x14ac:dyDescent="0.25">
      <c r="B31" s="4" t="s">
        <v>48</v>
      </c>
      <c r="C31" s="10">
        <f>SUM(C25:C29)</f>
        <v>192000</v>
      </c>
      <c r="D31" s="10">
        <f t="shared" ref="D31:H31" si="2">SUM(D25:D29)</f>
        <v>200</v>
      </c>
      <c r="E31" s="10">
        <f t="shared" si="2"/>
        <v>96000</v>
      </c>
      <c r="F31" s="10">
        <f t="shared" si="2"/>
        <v>200</v>
      </c>
      <c r="G31" s="10">
        <f t="shared" si="2"/>
        <v>144000</v>
      </c>
      <c r="H31" s="10">
        <f t="shared" si="2"/>
        <v>200</v>
      </c>
    </row>
    <row r="32" spans="2:12" x14ac:dyDescent="0.25">
      <c r="I32" s="1" t="s">
        <v>56</v>
      </c>
      <c r="J32" s="1" t="s">
        <v>57</v>
      </c>
      <c r="K32" s="1" t="s">
        <v>60</v>
      </c>
      <c r="L32" s="1" t="s">
        <v>59</v>
      </c>
    </row>
    <row r="33" spans="2:12" ht="30" x14ac:dyDescent="0.25">
      <c r="B33" s="29" t="s">
        <v>53</v>
      </c>
      <c r="C33" s="30">
        <f>C12*D31+C31</f>
        <v>672000</v>
      </c>
      <c r="D33" s="30"/>
      <c r="E33" s="30">
        <f>(4000-C12)*F31+E31</f>
        <v>416000</v>
      </c>
      <c r="G33" s="30"/>
      <c r="I33" s="30">
        <f>C33+E33+G33</f>
        <v>1088000</v>
      </c>
      <c r="J33" s="30">
        <f>I33/4000</f>
        <v>272</v>
      </c>
      <c r="K33" s="30">
        <f>I33+'Problema 1 (enunciado)'!C27</f>
        <v>1360000</v>
      </c>
      <c r="L33" s="30">
        <f>K33/4000</f>
        <v>340</v>
      </c>
    </row>
    <row r="34" spans="2:12" x14ac:dyDescent="0.25">
      <c r="B34" t="s">
        <v>54</v>
      </c>
      <c r="C34" s="30">
        <f>C33/C12</f>
        <v>280</v>
      </c>
      <c r="E34" s="30">
        <f>E33/(4000-C12)</f>
        <v>260</v>
      </c>
      <c r="G34" s="30"/>
    </row>
    <row r="36" spans="2:12" ht="30" x14ac:dyDescent="0.25">
      <c r="B36" s="29" t="s">
        <v>55</v>
      </c>
      <c r="C36" s="30">
        <f>C12*D31+C31</f>
        <v>672000</v>
      </c>
      <c r="E36" s="30">
        <f>C12*F31+E31</f>
        <v>576000</v>
      </c>
      <c r="G36" s="30">
        <f>(6000-C12-C12)*H31+G31</f>
        <v>384000</v>
      </c>
      <c r="I36" s="30">
        <f>C36+E36+G36</f>
        <v>1632000</v>
      </c>
      <c r="J36" s="30">
        <f>I36/6000</f>
        <v>272</v>
      </c>
      <c r="K36" s="30">
        <f>I36+'Problema 1 (enunciado)'!C27+'Problema 1 (enunciado)'!C28</f>
        <v>1980000</v>
      </c>
      <c r="L36" s="30">
        <f>K36/6000</f>
        <v>330</v>
      </c>
    </row>
    <row r="37" spans="2:12" x14ac:dyDescent="0.25">
      <c r="B37" t="s">
        <v>54</v>
      </c>
      <c r="C37" s="30">
        <f>C36/C12</f>
        <v>280</v>
      </c>
      <c r="E37" s="30">
        <f>E36/C12</f>
        <v>240</v>
      </c>
      <c r="G37" s="30">
        <f>G36/(6000-C12-C12)</f>
        <v>320</v>
      </c>
    </row>
  </sheetData>
  <pageMargins left="0.7" right="0.7" top="0.75" bottom="0.75" header="0.3" footer="0.3"/>
  <pageSetup orientation="portrait" r:id="rId1"/>
  <ignoredErrors>
    <ignoredError sqref="K33 K3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8494D-15F9-4F44-9285-D2AB202B24F1}">
  <dimension ref="B2:D27"/>
  <sheetViews>
    <sheetView workbookViewId="0"/>
  </sheetViews>
  <sheetFormatPr defaultRowHeight="15" x14ac:dyDescent="0.25"/>
  <cols>
    <col min="2" max="2" width="34.28515625" bestFit="1" customWidth="1"/>
    <col min="3" max="4" width="28" bestFit="1" customWidth="1"/>
  </cols>
  <sheetData>
    <row r="2" spans="2:4" x14ac:dyDescent="0.25">
      <c r="B2" s="34" t="s">
        <v>61</v>
      </c>
      <c r="C2" s="7" t="s">
        <v>62</v>
      </c>
      <c r="D2" s="7" t="s">
        <v>63</v>
      </c>
    </row>
    <row r="3" spans="2:4" ht="3" customHeight="1" x14ac:dyDescent="0.25">
      <c r="C3" s="2"/>
      <c r="D3" s="2"/>
    </row>
    <row r="4" spans="2:4" x14ac:dyDescent="0.25">
      <c r="C4" s="9" t="s">
        <v>64</v>
      </c>
      <c r="D4" s="38" t="s">
        <v>64</v>
      </c>
    </row>
    <row r="5" spans="2:4" ht="3" customHeight="1" x14ac:dyDescent="0.25">
      <c r="C5" s="2"/>
      <c r="D5" s="2"/>
    </row>
    <row r="6" spans="2:4" x14ac:dyDescent="0.25">
      <c r="C6" s="39">
        <v>3000</v>
      </c>
      <c r="D6" s="39">
        <v>4000</v>
      </c>
    </row>
    <row r="7" spans="2:4" ht="3" customHeight="1" x14ac:dyDescent="0.25"/>
    <row r="8" spans="2:4" x14ac:dyDescent="0.25">
      <c r="B8" s="36" t="s">
        <v>9</v>
      </c>
      <c r="C8" s="7" t="s">
        <v>65</v>
      </c>
      <c r="D8" s="36" t="s">
        <v>65</v>
      </c>
    </row>
    <row r="9" spans="2:4" ht="3" customHeight="1" x14ac:dyDescent="0.25"/>
    <row r="10" spans="2:4" x14ac:dyDescent="0.25">
      <c r="C10" s="38" t="s">
        <v>13</v>
      </c>
      <c r="D10" s="35" t="s">
        <v>13</v>
      </c>
    </row>
    <row r="11" spans="2:4" ht="3" customHeight="1" x14ac:dyDescent="0.25"/>
    <row r="12" spans="2:4" x14ac:dyDescent="0.25">
      <c r="B12" s="32" t="s">
        <v>66</v>
      </c>
      <c r="C12" s="31">
        <v>60000</v>
      </c>
      <c r="D12" s="33">
        <v>80000</v>
      </c>
    </row>
    <row r="13" spans="2:4" x14ac:dyDescent="0.25">
      <c r="B13" s="32" t="s">
        <v>67</v>
      </c>
      <c r="C13" s="31">
        <v>85000</v>
      </c>
      <c r="D13" s="33">
        <v>110000</v>
      </c>
    </row>
    <row r="14" spans="2:4" x14ac:dyDescent="0.25">
      <c r="B14" s="32" t="s">
        <v>17</v>
      </c>
      <c r="C14" s="31">
        <v>46000</v>
      </c>
      <c r="D14" s="33">
        <v>53000</v>
      </c>
    </row>
    <row r="15" spans="2:4" x14ac:dyDescent="0.25">
      <c r="B15" s="32" t="s">
        <v>18</v>
      </c>
      <c r="C15" s="31">
        <v>68000</v>
      </c>
      <c r="D15" s="33">
        <v>73000</v>
      </c>
    </row>
    <row r="16" spans="2:4" x14ac:dyDescent="0.25">
      <c r="B16" s="23" t="s">
        <v>15</v>
      </c>
      <c r="C16" s="31">
        <v>74000</v>
      </c>
      <c r="D16" s="33">
        <v>82000</v>
      </c>
    </row>
    <row r="17" spans="2:4" ht="5.0999999999999996" customHeight="1" x14ac:dyDescent="0.25">
      <c r="B17" s="43"/>
      <c r="C17" s="44"/>
      <c r="D17" s="44"/>
    </row>
    <row r="18" spans="2:4" x14ac:dyDescent="0.25">
      <c r="B18" s="46" t="s">
        <v>48</v>
      </c>
      <c r="C18" s="12">
        <f>SUM(C12:C16)</f>
        <v>333000</v>
      </c>
      <c r="D18" s="12">
        <f>SUM(D12:D16)</f>
        <v>398000</v>
      </c>
    </row>
    <row r="19" spans="2:4" x14ac:dyDescent="0.25">
      <c r="B19" s="46"/>
      <c r="C19" s="12"/>
      <c r="D19" s="12"/>
    </row>
    <row r="20" spans="2:4" x14ac:dyDescent="0.25">
      <c r="B20" s="45" t="s">
        <v>87</v>
      </c>
      <c r="C20" s="12">
        <f>D6-C6</f>
        <v>1000</v>
      </c>
    </row>
    <row r="21" spans="2:4" x14ac:dyDescent="0.25">
      <c r="B21" t="s">
        <v>68</v>
      </c>
      <c r="C21" s="40">
        <v>5000</v>
      </c>
      <c r="D21" t="s">
        <v>69</v>
      </c>
    </row>
    <row r="22" spans="2:4" x14ac:dyDescent="0.25">
      <c r="B22" t="s">
        <v>70</v>
      </c>
      <c r="C22" s="40">
        <v>80000</v>
      </c>
      <c r="D22" t="s">
        <v>71</v>
      </c>
    </row>
    <row r="23" spans="2:4" x14ac:dyDescent="0.25">
      <c r="B23" t="s">
        <v>72</v>
      </c>
      <c r="C23" s="40">
        <v>50000</v>
      </c>
      <c r="D23" t="s">
        <v>73</v>
      </c>
    </row>
    <row r="24" spans="2:4" x14ac:dyDescent="0.25">
      <c r="B24" t="s">
        <v>74</v>
      </c>
      <c r="C24" s="41">
        <v>0.5</v>
      </c>
    </row>
    <row r="25" spans="2:4" x14ac:dyDescent="0.25">
      <c r="B25" t="s">
        <v>98</v>
      </c>
      <c r="C25" s="41">
        <v>0.2</v>
      </c>
    </row>
    <row r="26" spans="2:4" x14ac:dyDescent="0.25">
      <c r="B26" t="s">
        <v>75</v>
      </c>
      <c r="D26" s="12">
        <v>5000</v>
      </c>
    </row>
    <row r="27" spans="2:4" x14ac:dyDescent="0.25">
      <c r="B27" t="s">
        <v>76</v>
      </c>
      <c r="C27" s="40">
        <v>8000</v>
      </c>
      <c r="D27" t="s">
        <v>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E9EE7-BF61-4C58-900F-78527D3312AC}">
  <dimension ref="A2:G30"/>
  <sheetViews>
    <sheetView workbookViewId="0"/>
  </sheetViews>
  <sheetFormatPr defaultRowHeight="15" x14ac:dyDescent="0.25"/>
  <cols>
    <col min="1" max="1" width="5.140625" bestFit="1" customWidth="1"/>
    <col min="2" max="2" width="29.140625" bestFit="1" customWidth="1"/>
    <col min="3" max="3" width="33.42578125" bestFit="1" customWidth="1"/>
    <col min="4" max="4" width="33.28515625" bestFit="1" customWidth="1"/>
    <col min="5" max="6" width="23.28515625" bestFit="1" customWidth="1"/>
  </cols>
  <sheetData>
    <row r="2" spans="1:7" x14ac:dyDescent="0.25">
      <c r="B2" s="36" t="s">
        <v>9</v>
      </c>
      <c r="C2" s="7" t="s">
        <v>78</v>
      </c>
      <c r="D2" s="7" t="s">
        <v>78</v>
      </c>
      <c r="E2" s="7" t="s">
        <v>78</v>
      </c>
      <c r="F2" s="7" t="s">
        <v>78</v>
      </c>
    </row>
    <row r="3" spans="1:7" ht="3" customHeight="1" x14ac:dyDescent="0.25"/>
    <row r="4" spans="1:7" x14ac:dyDescent="0.25">
      <c r="C4" s="7" t="s">
        <v>79</v>
      </c>
      <c r="D4" s="7" t="s">
        <v>79</v>
      </c>
      <c r="E4" s="36" t="s">
        <v>80</v>
      </c>
      <c r="F4" s="36" t="s">
        <v>80</v>
      </c>
    </row>
    <row r="5" spans="1:7" ht="3" customHeight="1" x14ac:dyDescent="0.25">
      <c r="C5" s="37"/>
      <c r="D5" s="37"/>
      <c r="E5" s="37"/>
      <c r="F5" s="37"/>
    </row>
    <row r="6" spans="1:7" x14ac:dyDescent="0.25">
      <c r="C6" s="38" t="s">
        <v>13</v>
      </c>
      <c r="D6" s="35" t="s">
        <v>45</v>
      </c>
      <c r="E6" s="35" t="s">
        <v>13</v>
      </c>
      <c r="F6" s="35" t="s">
        <v>45</v>
      </c>
    </row>
    <row r="7" spans="1:7" ht="3" customHeight="1" x14ac:dyDescent="0.25"/>
    <row r="8" spans="1:7" x14ac:dyDescent="0.25">
      <c r="A8" t="s">
        <v>93</v>
      </c>
      <c r="B8" s="32" t="s">
        <v>66</v>
      </c>
      <c r="C8" s="54">
        <f>C24</f>
        <v>0</v>
      </c>
      <c r="D8" s="39">
        <f>D24</f>
        <v>20</v>
      </c>
      <c r="E8" s="54" t="s">
        <v>19</v>
      </c>
      <c r="F8" s="39">
        <f>D8</f>
        <v>20</v>
      </c>
    </row>
    <row r="9" spans="1:7" x14ac:dyDescent="0.25">
      <c r="A9" t="s">
        <v>86</v>
      </c>
      <c r="B9" s="32" t="s">
        <v>67</v>
      </c>
      <c r="C9" s="54">
        <f>C25</f>
        <v>10000</v>
      </c>
      <c r="D9" s="39">
        <f>D25</f>
        <v>25</v>
      </c>
      <c r="E9" s="54" t="s">
        <v>19</v>
      </c>
      <c r="F9" s="39">
        <f>D9*(1+'Problema 2 (enunciado)'!C25)</f>
        <v>30</v>
      </c>
    </row>
    <row r="10" spans="1:7" x14ac:dyDescent="0.25">
      <c r="A10" t="s">
        <v>83</v>
      </c>
      <c r="B10" s="32" t="s">
        <v>17</v>
      </c>
      <c r="C10" s="54">
        <f>C26</f>
        <v>25000</v>
      </c>
      <c r="D10" s="39">
        <f>D26</f>
        <v>7</v>
      </c>
      <c r="E10" s="54">
        <f>'Problema 2 (enunciado)'!D26</f>
        <v>5000</v>
      </c>
      <c r="F10" s="39">
        <f>D10</f>
        <v>7</v>
      </c>
    </row>
    <row r="11" spans="1:7" x14ac:dyDescent="0.25">
      <c r="A11" t="s">
        <v>84</v>
      </c>
      <c r="B11" s="32" t="s">
        <v>18</v>
      </c>
      <c r="C11" s="54">
        <f>C27</f>
        <v>53000</v>
      </c>
      <c r="D11" s="39">
        <f>D27</f>
        <v>5</v>
      </c>
      <c r="E11" s="54" t="s">
        <v>19</v>
      </c>
      <c r="F11" s="39">
        <f>D11</f>
        <v>5</v>
      </c>
    </row>
    <row r="12" spans="1:7" x14ac:dyDescent="0.25">
      <c r="A12" t="s">
        <v>94</v>
      </c>
      <c r="B12" s="23" t="s">
        <v>15</v>
      </c>
      <c r="C12" s="54">
        <f>C28</f>
        <v>50000</v>
      </c>
      <c r="D12" s="39">
        <f>D28</f>
        <v>8</v>
      </c>
      <c r="E12" s="54">
        <f>C12*(1+'Problema 2 (enunciado)'!C24)</f>
        <v>75000</v>
      </c>
      <c r="F12" s="39">
        <f>D12*(1+'Problema 2 (enunciado)'!C24)</f>
        <v>12</v>
      </c>
    </row>
    <row r="13" spans="1:7" x14ac:dyDescent="0.25">
      <c r="A13" t="s">
        <v>85</v>
      </c>
      <c r="B13" s="23" t="s">
        <v>81</v>
      </c>
      <c r="C13" s="54">
        <f>C29</f>
        <v>80000</v>
      </c>
      <c r="D13" s="39">
        <f>D29</f>
        <v>0</v>
      </c>
      <c r="E13" s="54">
        <f>'Problema 2 (enunciado)'!C23</f>
        <v>50000</v>
      </c>
      <c r="F13" s="39" t="s">
        <v>19</v>
      </c>
    </row>
    <row r="14" spans="1:7" ht="5.0999999999999996" customHeight="1" x14ac:dyDescent="0.25">
      <c r="C14" s="40"/>
    </row>
    <row r="15" spans="1:7" x14ac:dyDescent="0.25">
      <c r="A15" s="43"/>
      <c r="B15" s="26" t="s">
        <v>48</v>
      </c>
      <c r="C15" s="42">
        <f>SUM(C8:C13)</f>
        <v>218000</v>
      </c>
      <c r="D15" s="55">
        <f>SUM(D8:D13)</f>
        <v>65</v>
      </c>
      <c r="E15" s="55">
        <f>SUM(E8:E13)</f>
        <v>130000</v>
      </c>
      <c r="F15" s="56">
        <f>SUM(F8:F13)</f>
        <v>74</v>
      </c>
      <c r="G15" s="43"/>
    </row>
    <row r="16" spans="1:7" x14ac:dyDescent="0.25">
      <c r="C16" s="40"/>
    </row>
    <row r="17" spans="2:5" x14ac:dyDescent="0.25">
      <c r="B17" t="str">
        <f>"Q1 = "&amp;'Problema 2 (enunciado)'!C6 &amp; "| C1 = " &amp; 'Problema 2 (enunciado)'!C18</f>
        <v>Q1 = 3000| C1 = 333000</v>
      </c>
      <c r="C17" s="41" t="str">
        <f>"Eq1 - Eq2 -&gt; " &amp; 'Problema 2 (enunciado)'!D18-'Problema 2 (enunciado)'!C18&amp;" = " &amp; 'Problema 2 (enunciado)'!D6-'Problema 2 (enunciado)'!C6 &amp; " x V1 -&gt; V1 = "</f>
        <v xml:space="preserve">Eq1 - Eq2 -&gt; 65000 = 1000 x V1 -&gt; V1 = </v>
      </c>
      <c r="D17" s="47">
        <f>('Problema 2 (enunciado)'!D18-'Problema 2 (enunciado)'!C18)/('Problema 2 (enunciado)'!D6-'Problema 2 (enunciado)'!C6)</f>
        <v>65</v>
      </c>
    </row>
    <row r="18" spans="2:5" x14ac:dyDescent="0.25">
      <c r="B18" t="str">
        <f>"Q1 = "&amp;'Problema 2 (enunciado)'!D6 &amp; "| C1 = " &amp; 'Problema 2 (enunciado)'!D18</f>
        <v>Q1 = 4000| C1 = 398000</v>
      </c>
      <c r="C18" s="41" t="str">
        <f>"F1 = " &amp; 'Problema 2 (enunciado)'!C18 &amp; " - " &amp; 'Problema 2 (enunciado)'!C6 &amp; " * " &amp; 'Problema 2 (calculos)'!D17 &amp; " = "</f>
        <v xml:space="preserve">F1 = 333000 - 3000 * 65 = </v>
      </c>
      <c r="D18" s="48">
        <f>'Problema 2 (enunciado)'!C18-'Problema 2 (enunciado)'!C6*'Problema 2 (calculos)'!D17</f>
        <v>138000</v>
      </c>
    </row>
    <row r="19" spans="2:5" x14ac:dyDescent="0.25">
      <c r="B19" t="s">
        <v>102</v>
      </c>
      <c r="C19" s="40">
        <f>'Problema 2 (graficos)'!B18</f>
        <v>658000</v>
      </c>
      <c r="D19" t="s">
        <v>105</v>
      </c>
      <c r="E19" s="12">
        <f>C15+E15</f>
        <v>348000</v>
      </c>
    </row>
    <row r="20" spans="2:5" x14ac:dyDescent="0.25">
      <c r="B20" t="s">
        <v>103</v>
      </c>
      <c r="C20" s="12">
        <f>'Problema 2 (graficos)'!B18+'Problema 2 (enunciado)'!C22+'Problema 2 (enunciado)'!C23</f>
        <v>788000</v>
      </c>
      <c r="D20" t="s">
        <v>106</v>
      </c>
      <c r="E20" s="12">
        <f>E19-C13-E13</f>
        <v>218000</v>
      </c>
    </row>
    <row r="21" spans="2:5" x14ac:dyDescent="0.25">
      <c r="B21" t="s">
        <v>104</v>
      </c>
      <c r="C21">
        <f>C20/'Problema 2 (enunciado)'!C27</f>
        <v>98.5</v>
      </c>
      <c r="D21" t="s">
        <v>107</v>
      </c>
      <c r="E21">
        <f>((C15+D15*5000)+(E15+F15*3000))/8000</f>
        <v>111.875</v>
      </c>
    </row>
    <row r="23" spans="2:5" x14ac:dyDescent="0.25">
      <c r="C23" s="4" t="s">
        <v>96</v>
      </c>
      <c r="D23" s="4" t="s">
        <v>97</v>
      </c>
    </row>
    <row r="24" spans="2:5" x14ac:dyDescent="0.25">
      <c r="B24" s="53" t="s">
        <v>92</v>
      </c>
      <c r="C24" s="12">
        <f>'Problema 2 (enunciado)'!C12-'Problema 2 (enunciado)'!$C$6*D24</f>
        <v>0</v>
      </c>
      <c r="D24" s="12">
        <f>('Problema 2 (enunciado)'!D12-'Problema 2 (enunciado)'!C12)/'Problema 2 (enunciado)'!$C$20</f>
        <v>20</v>
      </c>
    </row>
    <row r="25" spans="2:5" x14ac:dyDescent="0.25">
      <c r="B25" s="53" t="s">
        <v>88</v>
      </c>
      <c r="C25" s="12">
        <f>'Problema 2 (enunciado)'!C13-'Problema 2 (enunciado)'!$C$6*D25</f>
        <v>10000</v>
      </c>
      <c r="D25" s="12">
        <f>('Problema 2 (enunciado)'!D13-'Problema 2 (enunciado)'!C13)/'Problema 2 (enunciado)'!$C$20</f>
        <v>25</v>
      </c>
    </row>
    <row r="26" spans="2:5" x14ac:dyDescent="0.25">
      <c r="B26" s="53" t="s">
        <v>89</v>
      </c>
      <c r="C26" s="12">
        <f>'Problema 2 (enunciado)'!C14-'Problema 2 (enunciado)'!$C$6*D26</f>
        <v>25000</v>
      </c>
      <c r="D26" s="12">
        <f>('Problema 2 (enunciado)'!D14-'Problema 2 (enunciado)'!C14)/'Problema 2 (enunciado)'!$C$20</f>
        <v>7</v>
      </c>
    </row>
    <row r="27" spans="2:5" x14ac:dyDescent="0.25">
      <c r="B27" s="53" t="s">
        <v>90</v>
      </c>
      <c r="C27" s="12">
        <f>'Problema 2 (enunciado)'!C15-'Problema 2 (enunciado)'!$C$6*D27</f>
        <v>53000</v>
      </c>
      <c r="D27" s="12">
        <f>('Problema 2 (enunciado)'!D15-'Problema 2 (enunciado)'!C15)/'Problema 2 (enunciado)'!$C$20</f>
        <v>5</v>
      </c>
    </row>
    <row r="28" spans="2:5" x14ac:dyDescent="0.25">
      <c r="B28" s="53" t="s">
        <v>91</v>
      </c>
      <c r="C28" s="12">
        <f>'Problema 2 (enunciado)'!C16-'Problema 2 (enunciado)'!$C$6*D28</f>
        <v>50000</v>
      </c>
      <c r="D28" s="12">
        <f>('Problema 2 (enunciado)'!D16-'Problema 2 (enunciado)'!C16)/'Problema 2 (enunciado)'!$C$20</f>
        <v>8</v>
      </c>
    </row>
    <row r="29" spans="2:5" x14ac:dyDescent="0.25">
      <c r="B29" s="53" t="s">
        <v>95</v>
      </c>
      <c r="C29" s="12">
        <f>'Problema 2 (enunciado)'!C22</f>
        <v>80000</v>
      </c>
      <c r="D29" s="12">
        <f>('Problema 2 (enunciado)'!D17-'Problema 2 (enunciado)'!C17)/'Problema 2 (enunciado)'!$C$20</f>
        <v>0</v>
      </c>
    </row>
    <row r="30" spans="2:5" x14ac:dyDescent="0.25">
      <c r="B30" s="4" t="s">
        <v>48</v>
      </c>
      <c r="C30" s="12">
        <f>SUM(C24:C29)</f>
        <v>218000</v>
      </c>
      <c r="D30" s="12">
        <f>SUM(D24:D29)</f>
        <v>65</v>
      </c>
    </row>
  </sheetData>
  <pageMargins left="0.7" right="0.7" top="0.75" bottom="0.75" header="0.3" footer="0.3"/>
  <ignoredErrors>
    <ignoredError sqref="F9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64A96-F0B9-4EB4-8927-6C28AF2B9792}">
  <dimension ref="A1:E28"/>
  <sheetViews>
    <sheetView tabSelected="1" workbookViewId="0"/>
  </sheetViews>
  <sheetFormatPr defaultRowHeight="15" x14ac:dyDescent="0.25"/>
  <cols>
    <col min="1" max="1" width="21" customWidth="1"/>
    <col min="2" max="2" width="17.7109375" bestFit="1" customWidth="1"/>
    <col min="3" max="3" width="19.140625" bestFit="1" customWidth="1"/>
    <col min="4" max="4" width="5.5703125" customWidth="1"/>
    <col min="5" max="5" width="98.5703125" customWidth="1"/>
  </cols>
  <sheetData>
    <row r="1" spans="1:3" x14ac:dyDescent="0.25">
      <c r="A1" s="1" t="s">
        <v>82</v>
      </c>
      <c r="B1" s="1" t="s">
        <v>56</v>
      </c>
      <c r="C1" s="1" t="s">
        <v>59</v>
      </c>
    </row>
    <row r="2" spans="1:3" x14ac:dyDescent="0.25">
      <c r="A2">
        <v>0</v>
      </c>
      <c r="B2">
        <f>'Problema 2 (calculos)'!$D$18+'Problema 2 (calculos)'!$D$17*'Problema 2 (graficos)'!A2</f>
        <v>138000</v>
      </c>
      <c r="C2" s="12">
        <f>(B2+'Problema 2 (enunciado)'!$C$22)*1</f>
        <v>218000</v>
      </c>
    </row>
    <row r="3" spans="1:3" x14ac:dyDescent="0.25">
      <c r="A3">
        <v>500</v>
      </c>
      <c r="B3">
        <f>'Problema 2 (calculos)'!$D$18+'Problema 2 (calculos)'!$D$17*'Problema 2 (graficos)'!A3</f>
        <v>170500</v>
      </c>
      <c r="C3" s="12">
        <f>(B3+'Problema 2 (enunciado)'!$C$22)/A3</f>
        <v>501</v>
      </c>
    </row>
    <row r="4" spans="1:3" x14ac:dyDescent="0.25">
      <c r="A4">
        <v>1000</v>
      </c>
      <c r="B4">
        <f>'Problema 2 (calculos)'!$D$18+'Problema 2 (calculos)'!$D$17*'Problema 2 (graficos)'!A4</f>
        <v>203000</v>
      </c>
      <c r="C4" s="12">
        <f>(B4+'Problema 2 (enunciado)'!$C$22)/A4</f>
        <v>283</v>
      </c>
    </row>
    <row r="5" spans="1:3" x14ac:dyDescent="0.25">
      <c r="A5">
        <v>1500</v>
      </c>
      <c r="B5">
        <f>'Problema 2 (calculos)'!$D$18+'Problema 2 (calculos)'!$D$17*'Problema 2 (graficos)'!A5</f>
        <v>235500</v>
      </c>
      <c r="C5" s="12">
        <f>(B5+'Problema 2 (enunciado)'!$C$22)/A5</f>
        <v>210.33333333333334</v>
      </c>
    </row>
    <row r="6" spans="1:3" x14ac:dyDescent="0.25">
      <c r="A6">
        <v>2000</v>
      </c>
      <c r="B6">
        <f>'Problema 2 (calculos)'!$D$18+'Problema 2 (calculos)'!$D$17*'Problema 2 (graficos)'!A6</f>
        <v>268000</v>
      </c>
      <c r="C6" s="12">
        <f>(B6+'Problema 2 (enunciado)'!$C$22)/A6</f>
        <v>174</v>
      </c>
    </row>
    <row r="7" spans="1:3" x14ac:dyDescent="0.25">
      <c r="A7">
        <v>2500</v>
      </c>
      <c r="B7">
        <f>'Problema 2 (calculos)'!$D$18+'Problema 2 (calculos)'!$D$17*'Problema 2 (graficos)'!A7</f>
        <v>300500</v>
      </c>
      <c r="C7" s="12">
        <f>(B7+'Problema 2 (enunciado)'!$C$22)/A7</f>
        <v>152.19999999999999</v>
      </c>
    </row>
    <row r="8" spans="1:3" x14ac:dyDescent="0.25">
      <c r="A8" s="1">
        <v>3000</v>
      </c>
      <c r="B8">
        <f>'Problema 2 (calculos)'!$D$18+'Problema 2 (calculos)'!$D$17*'Problema 2 (graficos)'!A8</f>
        <v>333000</v>
      </c>
      <c r="C8" s="12">
        <f>(B8+'Problema 2 (enunciado)'!$C$22)/A8</f>
        <v>137.66666666666666</v>
      </c>
    </row>
    <row r="9" spans="1:3" x14ac:dyDescent="0.25">
      <c r="A9">
        <v>3500</v>
      </c>
      <c r="B9">
        <f>'Problema 2 (calculos)'!$D$18+'Problema 2 (calculos)'!$D$17*'Problema 2 (graficos)'!A9</f>
        <v>365500</v>
      </c>
      <c r="C9" s="12">
        <f>(B9+'Problema 2 (enunciado)'!$C$22)/A9</f>
        <v>127.28571428571429</v>
      </c>
    </row>
    <row r="10" spans="1:3" x14ac:dyDescent="0.25">
      <c r="A10" s="1">
        <v>4000</v>
      </c>
      <c r="B10">
        <f>'Problema 2 (calculos)'!$D$18+'Problema 2 (calculos)'!$D$17*'Problema 2 (graficos)'!A10</f>
        <v>398000</v>
      </c>
      <c r="C10" s="12">
        <f>(B10+'Problema 2 (enunciado)'!$C$22)/A10</f>
        <v>119.5</v>
      </c>
    </row>
    <row r="11" spans="1:3" x14ac:dyDescent="0.25">
      <c r="A11">
        <v>4500</v>
      </c>
      <c r="B11">
        <f>'Problema 2 (calculos)'!$D$18+'Problema 2 (calculos)'!$D$17*'Problema 2 (graficos)'!A11</f>
        <v>430500</v>
      </c>
      <c r="C11" s="12">
        <f>(B11+'Problema 2 (enunciado)'!$C$22)/A11</f>
        <v>113.44444444444444</v>
      </c>
    </row>
    <row r="12" spans="1:3" ht="15.75" thickBot="1" x14ac:dyDescent="0.3">
      <c r="A12" s="50">
        <v>5000</v>
      </c>
      <c r="B12" s="50">
        <f>'Problema 2 (calculos)'!$D$18+'Problema 2 (calculos)'!$D$17*'Problema 2 (graficos)'!A12</f>
        <v>463000</v>
      </c>
      <c r="C12" s="51">
        <f>(B12+'Problema 2 (enunciado)'!$C$22)/A12</f>
        <v>108.6</v>
      </c>
    </row>
    <row r="13" spans="1:3" x14ac:dyDescent="0.25">
      <c r="A13">
        <v>5500</v>
      </c>
      <c r="B13">
        <f>'Problema 2 (calculos)'!$D$18+'Problema 2 (calculos)'!$D$17*'Problema 2 (graficos)'!A13</f>
        <v>495500</v>
      </c>
      <c r="C13" s="12">
        <f>(B13+'Problema 2 (enunciado)'!$C$22+'Problema 2 (enunciado)'!$C$23)/'Problema 2 (graficos)'!A13</f>
        <v>113.72727272727273</v>
      </c>
    </row>
    <row r="14" spans="1:3" x14ac:dyDescent="0.25">
      <c r="A14">
        <v>6000</v>
      </c>
      <c r="B14">
        <f>'Problema 2 (calculos)'!$D$18+'Problema 2 (calculos)'!$D$17*'Problema 2 (graficos)'!A14</f>
        <v>528000</v>
      </c>
      <c r="C14" s="12">
        <f>(B14+'Problema 2 (enunciado)'!$C$22+'Problema 2 (enunciado)'!$C$23)/'Problema 2 (graficos)'!A14</f>
        <v>109.66666666666667</v>
      </c>
    </row>
    <row r="15" spans="1:3" x14ac:dyDescent="0.25">
      <c r="A15">
        <v>6500</v>
      </c>
      <c r="B15">
        <f>'Problema 2 (calculos)'!$D$18+'Problema 2 (calculos)'!$D$17*'Problema 2 (graficos)'!A15</f>
        <v>560500</v>
      </c>
      <c r="C15" s="12">
        <f>(B15+'Problema 2 (enunciado)'!$C$22+'Problema 2 (enunciado)'!$C$23)/'Problema 2 (graficos)'!A15</f>
        <v>106.23076923076923</v>
      </c>
    </row>
    <row r="16" spans="1:3" x14ac:dyDescent="0.25">
      <c r="A16">
        <v>7000</v>
      </c>
      <c r="B16">
        <f>'Problema 2 (calculos)'!$D$18+'Problema 2 (calculos)'!$D$17*'Problema 2 (graficos)'!A16</f>
        <v>593000</v>
      </c>
      <c r="C16" s="12">
        <f>(B16+'Problema 2 (enunciado)'!$C$22+'Problema 2 (enunciado)'!$C$23)/'Problema 2 (graficos)'!A16</f>
        <v>103.28571428571429</v>
      </c>
    </row>
    <row r="17" spans="1:5" x14ac:dyDescent="0.25">
      <c r="A17">
        <v>7500</v>
      </c>
      <c r="B17">
        <f>'Problema 2 (calculos)'!$D$18+'Problema 2 (calculos)'!$D$17*'Problema 2 (graficos)'!A17</f>
        <v>625500</v>
      </c>
      <c r="C17" s="12">
        <f>(B17+'Problema 2 (enunciado)'!$C$22+'Problema 2 (enunciado)'!$C$23)/'Problema 2 (graficos)'!A17</f>
        <v>100.73333333333333</v>
      </c>
    </row>
    <row r="18" spans="1:5" x14ac:dyDescent="0.25">
      <c r="A18" s="1">
        <v>8000</v>
      </c>
      <c r="B18" s="49">
        <f>'Problema 2 (calculos)'!$D$18+'Problema 2 (calculos)'!$D$17*'Problema 2 (graficos)'!A18</f>
        <v>658000</v>
      </c>
      <c r="C18" s="52">
        <f>(B18+'Problema 2 (enunciado)'!$C$22+'Problema 2 (enunciado)'!$C$23)/'Problema 2 (graficos)'!A18</f>
        <v>98.5</v>
      </c>
    </row>
    <row r="19" spans="1:5" x14ac:dyDescent="0.25">
      <c r="A19">
        <v>8500</v>
      </c>
      <c r="B19">
        <f>'Problema 2 (calculos)'!$D$18+'Problema 2 (calculos)'!$D$17*'Problema 2 (graficos)'!A19</f>
        <v>690500</v>
      </c>
      <c r="C19" s="12">
        <f>(B19+'Problema 2 (enunciado)'!$C$22+'Problema 2 (enunciado)'!$C$23)/'Problema 2 (graficos)'!A19</f>
        <v>96.529411764705884</v>
      </c>
    </row>
    <row r="20" spans="1:5" x14ac:dyDescent="0.25">
      <c r="A20">
        <v>9000</v>
      </c>
      <c r="B20">
        <f>'Problema 2 (calculos)'!$D$18+'Problema 2 (calculos)'!$D$17*'Problema 2 (graficos)'!A20</f>
        <v>723000</v>
      </c>
      <c r="C20" s="12">
        <f>(B20+'Problema 2 (enunciado)'!$C$22+'Problema 2 (enunciado)'!$C$23)/'Problema 2 (graficos)'!A20</f>
        <v>94.777777777777771</v>
      </c>
    </row>
    <row r="21" spans="1:5" x14ac:dyDescent="0.25">
      <c r="A21">
        <v>9500</v>
      </c>
      <c r="B21">
        <f>'Problema 2 (calculos)'!$D$18+'Problema 2 (calculos)'!$D$17*'Problema 2 (graficos)'!A21</f>
        <v>755500</v>
      </c>
      <c r="C21" s="12">
        <f>(B21+'Problema 2 (enunciado)'!$C$22+'Problema 2 (enunciado)'!$C$23)/'Problema 2 (graficos)'!A21</f>
        <v>93.21052631578948</v>
      </c>
    </row>
    <row r="22" spans="1:5" x14ac:dyDescent="0.25">
      <c r="A22">
        <v>10000</v>
      </c>
      <c r="B22">
        <f>'Problema 2 (calculos)'!$D$18+'Problema 2 (calculos)'!$D$17*'Problema 2 (graficos)'!A22</f>
        <v>788000</v>
      </c>
      <c r="C22" s="12">
        <f>(B22+'Problema 2 (enunciado)'!$C$22+'Problema 2 (enunciado)'!$C$23)/'Problema 2 (graficos)'!A22</f>
        <v>91.8</v>
      </c>
    </row>
    <row r="24" spans="1:5" ht="30" x14ac:dyDescent="0.25">
      <c r="E24" s="3" t="s">
        <v>99</v>
      </c>
    </row>
    <row r="26" spans="1:5" ht="75" x14ac:dyDescent="0.25">
      <c r="E26" s="3" t="s">
        <v>100</v>
      </c>
    </row>
    <row r="28" spans="1:5" ht="75" x14ac:dyDescent="0.25">
      <c r="E28" s="3" t="s">
        <v>101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Integrantes</vt:lpstr>
      <vt:lpstr>Problema 1 (enunciado)</vt:lpstr>
      <vt:lpstr>Problema 1 (calculos)</vt:lpstr>
      <vt:lpstr>Problema 1 (graficos)</vt:lpstr>
      <vt:lpstr>Problema 2 (enunciado)</vt:lpstr>
      <vt:lpstr>Problema 2 (calculos)</vt:lpstr>
      <vt:lpstr>Problema 2 (graficos)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Silva</dc:creator>
  <cp:keywords/>
  <dc:description/>
  <cp:lastModifiedBy>Felipe Silva</cp:lastModifiedBy>
  <cp:revision/>
  <cp:lastPrinted>2024-06-12T02:32:48Z</cp:lastPrinted>
  <dcterms:created xsi:type="dcterms:W3CDTF">2024-04-01T13:16:43Z</dcterms:created>
  <dcterms:modified xsi:type="dcterms:W3CDTF">2024-06-16T03:48:17Z</dcterms:modified>
  <cp:category/>
  <cp:contentStatus/>
</cp:coreProperties>
</file>