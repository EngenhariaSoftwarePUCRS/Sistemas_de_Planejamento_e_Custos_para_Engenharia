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28"/>
  <workbookPr/>
  <mc:AlternateContent xmlns:mc="http://schemas.openxmlformats.org/markup-compatibility/2006">
    <mc:Choice Requires="x15">
      <x15ac:absPath xmlns:x15ac="http://schemas.microsoft.com/office/spreadsheetml/2010/11/ac" url="https://brpucrs-my.sharepoint.com/personal/f_freitas007_edu_pucrs_br/Documents/"/>
    </mc:Choice>
  </mc:AlternateContent>
  <xr:revisionPtr revIDLastSave="0" documentId="8_{395844E7-6777-4FDF-A2B9-9A5A1C1EF19C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Integrantes" sheetId="1" r:id="rId1"/>
    <sheet name="Tabela base (enunciado)" sheetId="2" r:id="rId2"/>
    <sheet name="Regras Restrições" sheetId="7" r:id="rId3"/>
    <sheet name="Aplicando (manual)" sheetId="6" r:id="rId4"/>
    <sheet name="Situação I - Sem Restrições" sheetId="5" r:id="rId5"/>
    <sheet name="Situação II - P &lt;= Q div 3" sheetId="8" r:id="rId6"/>
    <sheet name="Situação III - P &lt;= media(Q, R)" sheetId="9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FD1048575" i="9" l="1" a="1"/>
  <c r="XFD1048575" i="9"/>
  <c r="XFD1048574" i="9" a="1"/>
  <c r="XFD1048574" i="9"/>
  <c r="XFD1048573" i="9" a="1"/>
  <c r="XFD1048573" i="9"/>
  <c r="XFD1048572" i="9" a="1"/>
  <c r="XFD1048572" i="9"/>
  <c r="XFD1048571" i="9" a="1"/>
  <c r="XFD1048571" i="9"/>
  <c r="XFD1048570" i="9" a="1"/>
  <c r="XFD1048570" i="9"/>
  <c r="XFD1048569" i="9" a="1"/>
  <c r="XFD1048569" i="9"/>
  <c r="XFD1048568" i="9" a="1"/>
  <c r="XFD1048568" i="9"/>
  <c r="XFD1048567" i="9" a="1"/>
  <c r="XFD1048567" i="9"/>
  <c r="XFD1048566" i="9" a="1"/>
  <c r="XFD1048566" i="9"/>
  <c r="XFD1048565" i="9" a="1"/>
  <c r="XFD1048565" i="9"/>
  <c r="XFD1048564" i="9" a="1"/>
  <c r="XFD1048564" i="9"/>
  <c r="XFD1048563" i="9" a="1"/>
  <c r="XFD1048563" i="9"/>
  <c r="XFD1048562" i="9" a="1"/>
  <c r="XFD1048562" i="9"/>
  <c r="XFD1048561" i="9" a="1"/>
  <c r="XFD1048561" i="9"/>
  <c r="XFD1048560" i="9" a="1"/>
  <c r="XFD1048560" i="9"/>
  <c r="XFD1048559" i="9" a="1"/>
  <c r="XFD1048559" i="9"/>
  <c r="XFD1048558" i="9" a="1"/>
  <c r="XFD1048558" i="9"/>
  <c r="XFD1048557" i="9" a="1"/>
  <c r="XFD1048557" i="9"/>
  <c r="XFD1048556" i="9" a="1"/>
  <c r="XFD1048556" i="9"/>
  <c r="XFD1048555" i="9" a="1"/>
  <c r="XFD1048555" i="9"/>
  <c r="XFD1048554" i="9" a="1"/>
  <c r="XFD1048554" i="9"/>
  <c r="XFD1048553" i="9" a="1"/>
  <c r="XFD1048553" i="9"/>
  <c r="XFD1048552" i="9" a="1"/>
  <c r="XFD1048552" i="9"/>
  <c r="XFD1048551" i="9" a="1"/>
  <c r="XFD1048551" i="9"/>
  <c r="XFD1048550" i="9" a="1"/>
  <c r="XFD1048550" i="9"/>
  <c r="D21" i="9"/>
  <c r="G9" i="9"/>
  <c r="F7" i="9"/>
  <c r="F6" i="9"/>
  <c r="D21" i="6"/>
  <c r="D21" i="8"/>
  <c r="G9" i="8"/>
  <c r="F7" i="8"/>
  <c r="F6" i="8"/>
  <c r="D22" i="7"/>
  <c r="D21" i="7"/>
  <c r="G9" i="7"/>
  <c r="F7" i="7"/>
  <c r="F6" i="7"/>
  <c r="D22" i="6"/>
  <c r="G9" i="6"/>
  <c r="F7" i="6"/>
  <c r="F6" i="6"/>
  <c r="F7" i="5"/>
  <c r="F6" i="5"/>
  <c r="G9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<sst xmlns="http://schemas.openxmlformats.org/spreadsheetml/2006/main" count="137" uniqueCount="32">
  <si>
    <t>Integrantes</t>
  </si>
  <si>
    <t>Felipe Freitas Silva</t>
  </si>
  <si>
    <t>Luiza Heller Kroeff Plá</t>
  </si>
  <si>
    <t>Marcius Moraes Vargas</t>
  </si>
  <si>
    <t>Análise Comparativa</t>
  </si>
  <si>
    <t>Podemos perceber que o Produto P é o mais lucrativo, visto que, tendo em média as operações A e B, é o que gera maior lucro em relação as horas consumidas.</t>
  </si>
  <si>
    <t>Portanto, no caso 1, em que não há restrições quanto à sua produção, é mais vantajoso produzir apenas do Produto P.</t>
  </si>
  <si>
    <t>Por outro lado, no momento em que associamos a produção de P com Q, apesar de ainda querermos produzir o máximo de P, temos de produzir 3 Q's para cada um e, por este motivo, o limite de produção de Q é levado em consideração. Caso sobre tempo, devemos produzir o máximo possível do produto R, já que este é livre de restrições.</t>
  </si>
  <si>
    <t>Mais ainda, quando inserimos duas dependências para P (Q e R) é que as produções começam a "nivelar" em questão de quantidade, visto que precisamos aumentar a produção de Q e R para poder aumentar P e, consequentemente, aumentar o lucro, que é nosso objetivo.</t>
  </si>
  <si>
    <t>Consumo de Recursos</t>
  </si>
  <si>
    <t>Produto P</t>
  </si>
  <si>
    <t>Produto Q</t>
  </si>
  <si>
    <t>Produto R</t>
  </si>
  <si>
    <t>Disponibilidade</t>
  </si>
  <si>
    <t>(horas por unidade)</t>
  </si>
  <si>
    <t>(horas por mês)</t>
  </si>
  <si>
    <t>Operação A</t>
  </si>
  <si>
    <t>Operação B</t>
  </si>
  <si>
    <t>MCU</t>
  </si>
  <si>
    <t>($ por unidade)</t>
  </si>
  <si>
    <t>Consumo</t>
  </si>
  <si>
    <t>Quantidade</t>
  </si>
  <si>
    <t>Função-objetivo</t>
  </si>
  <si>
    <t>Maximizar MCT = 10*P + 6*Q + 4*R</t>
  </si>
  <si>
    <t>Restrições</t>
  </si>
  <si>
    <t>4*P + 2*Q + 2*R &lt;= 800</t>
  </si>
  <si>
    <t>6*P + 8*Q &lt;= 1200</t>
  </si>
  <si>
    <t>Não-negatividade</t>
  </si>
  <si>
    <t>P, Q, R &gt;= 0</t>
  </si>
  <si>
    <t>&lt;= Q / 3 =</t>
  </si>
  <si>
    <t>&lt;= (Q+R) / 2 =</t>
  </si>
  <si>
    <t>&lt;= (Q + R) / 2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</si>
</sst>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_ ;_-[$$-409]* \-#,##0\ ;_-[$$-409]* &quot;-&quot;??_ ;_-@_ 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9" xfId="0" applyBorder="1"/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3" fillId="0" borderId="15" xfId="0" applyNumberFormat="1" applyFon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0" fillId="2" borderId="0" xfId="0" applyFill="1" applyAlignment="1">
      <alignment horizontal="right"/>
    </xf>
    <xf numFmtId="0" fontId="0" fillId="3" borderId="0" xfId="0" applyFill="1" applyAlignment="1">
      <alignment horizontal="right"/>
    </xf>
    <xf numFmtId="0" fontId="0" fillId="0" borderId="0" xfId="0" applyAlignment="1">
      <alignment wrapText="1"/>
    </xf>
  </cellXfs>
  <cellStyles count="1">
    <cellStyle name="Normal" xfId="0" builtinId="0"/>
  </cellStyles>
  <dxfs count="11"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E87331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E87331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E87331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14</xdr:col>
      <xdr:colOff>447675</xdr:colOff>
      <xdr:row>27</xdr:row>
      <xdr:rowOff>95250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6E9F413-F431-3F74-1A89-C8E76FEAC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00800" y="190500"/>
          <a:ext cx="4105275" cy="4572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14</xdr:col>
      <xdr:colOff>485775</xdr:colOff>
      <xdr:row>27</xdr:row>
      <xdr:rowOff>95250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D9E45BB-4B94-4461-9901-22CBC7942992}"/>
            </a:ext>
            <a:ext uri="{147F2762-F138-4A5C-976F-8EAC2B608ADB}">
              <a16:predDERef xmlns:a16="http://schemas.microsoft.com/office/drawing/2014/main" pred="{01960821-B785-4672-9B2D-AB198D61E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00800" y="190500"/>
          <a:ext cx="4143375" cy="457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9525</xdr:rowOff>
    </xdr:from>
    <xdr:to>
      <xdr:col>13</xdr:col>
      <xdr:colOff>247650</xdr:colOff>
      <xdr:row>26</xdr:row>
      <xdr:rowOff>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13994C8-5780-5BE4-32C0-E6633E778BE3}"/>
            </a:ext>
            <a:ext uri="{147F2762-F138-4A5C-976F-8EAC2B608ADB}">
              <a16:predDERef xmlns:a16="http://schemas.microsoft.com/office/drawing/2014/main" pred="{C0306DF8-705A-4918-9D51-F7EA61744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24625" y="200025"/>
          <a:ext cx="3295650" cy="4276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B1372D7-AB95-484B-95BE-AACF8D95D0FC}">
  <we:reference id="wa104100404" version="3.0.0.1" store="en-US" storeType="omex"/>
  <we:alternateReferences>
    <we:reference id="wa104100404" version="3.0.0.1" store="en-US" storeType="omex"/>
  </we:alternateReferences>
  <we:properties>
    <we:property name="Bh4aFyoaBT9XEg==" value="&quot;RA==&quot;"/>
    <we:property name="Bh4aFyoaBTRcEg==" value="&quot;MiMx&quot;"/>
    <we:property name="JQMZBToLLnF/HDJCVnkMFAMfAC0EPyI=" value="&quot;UTVSWHVMHHUL&quot;"/>
    <we:property name="JQMZBToLLnF/HDJCVnkVFxs=" value="&quot;UTVSUHc=&quot;"/>
    <we:property name="JQMZBToLLnF/HDJCVnkXFAk7CCE=" value="&quot;RA==&quot;"/>
    <we:property name="JQMZBToLLnF/HDJCVnkpGh0ABD03KDReRA==" value="&quot;VU1LQQ==&quot;"/>
    <we:property name="JQMZBToLLnF/HDJCVnkpGh0ABD03KDReRw==" value="&quot;VU9LQQ==&quot;"/>
    <we:property name="JQMZBToLLnF/HDJCVnkpGh0ABD03KDlBRA==" value="&quot;UTNSUH5SfhMWRH8=&quot;"/>
    <we:property name="JQMZBToLLnF/HDJCVnkpGh0ABD03KDlBRw==" value="&quot;RQ==&quot;"/>
    <we:property name="JQMZBToLLnF/HDJCVnkpGh0ABD03NCRf" value="&quot;Rw==&quot;"/>
    <we:property name="JQMZBToLLnF/HDJCVnkpGh0ABD03NDRV" value="&quot;RA==&quot;"/>
    <we:property name="JQMZBToLLnF/HDJCVnkpGh0ABD03NjlBRA==" value="&quot;UTJSUH5SfhIWRH8=&quot;"/>
    <we:property name="JQMZBToLLnF/HDJCVnkpGh0ABD03NjlBRw==" value="&quot;UTVSWHVMHHUL&quot;"/>
    <we:property name="JQMZBToLLnF/HDJCVnkpGh0ABD03Pz9V" value="&quot;RQ==&quot;"/>
    <we:property name="JQMZBToLLnF/HDJDFDc2AxQEPi4LOQ==" value="&quot;RV9GUX4=&quot;"/>
    <we:property name="JQMZBToLLnF/HDJDFDc2AxQEPi4aKQ==" value="&quot;RA==&quot;"/>
    <we:property name="JQMZBToLLnF/HDJDFDc2AxQEPiENPQ==" value="&quot;RA==&quot;"/>
    <we:property name="JQMZBToLLnF/HDJDFDc2AxQEPiEdNw==" value="&quot;Rw==&quot;"/>
    <we:property name="JQMZBToLLnF/HDJDFDc2AxQEPiIGMw==" value="&quot;RkE=&quot;"/>
    <we:property name="JQMZBToLLnF/HDJDFDc2AxQEPiINLg==" value="&quot;RA==&quot;"/>
    <we:property name="JQMZBToLLnF/HDJDFDc2AxQEPiIaLg==" value="&quot;RV9GVno=&quot;"/>
    <we:property name="JQMZBToLLnF/HDJDFDc2AxQEPiIbNg==" value="&quot;RQ==&quot;"/>
    <we:property name="JQMZBToLLnF/HDJDFDc2AxQEPiMAKWA=" value="&quot;UTJSUH5SfhIWRH8=&quot;"/>
    <we:property name="JQMZBToLLnF/HDJDFDc2AxQEPiMAKWM=" value="&quot;UTVSWHVMHHUL&quot;"/>
    <we:property name="JQMZBToLLnF/HDJDFDc2AxQEPiMYKg==" value="&quot;RQ==&quot;"/>
    <we:property name="JQMZBToLLnF/HDJDFDc2AxQEPiMYLg==" value="&quot;RQ==&quot;"/>
    <we:property name="JQMZBToLLnF/HDJDFDc2AxQEPiYYKQ==" value="&quot;RV9PWA==&quot;"/>
    <we:property name="JQMZBToLLnF/HDJDFDc2AxQEPiYYMw==" value="&quot;RA==&quot;"/>
    <we:property name="JQMZBToLLnF/HDJDFDc2AxQEPiYYPg==" value="&quot;Rg==&quot;"/>
    <we:property name="JQMZBToLLnF/HDJDFDc2AxQEPigJKg==" value="&quot;RV9GUX9YamA=&quot;"/>
    <we:property name="JQMZBToLLnF/HDJDFDc2AxQEPikNOw==" value="&quot;RV9GUX9YamA=&quot;"/>
    <we:property name="JQMZBToLLnF/HDJDFDc2AxQEPioGPQ==" value="&quot;OSE=&quot;"/>
    <we:property name="JQMZBToLLnF/HDJDFDc2AxQEPiwePQ==" value="&quot;RV9GUX9Z&quot;"/>
    <we:property name="JQMZBToLLnF/HDJDFDc2AxQEPj0AKWA=" value="&quot;UTNSUH5SfhMWRH8=&quot;"/>
    <we:property name="JQMZBToLLnF/HDJDFDc2AxQEPj0AKWM=" value="&quot;RQ==&quot;"/>
    <we:property name="JQMZBToLLnF/HDJDFDc2AxQEPj0EIg==" value="&quot;RQ==&quot;"/>
    <we:property name="JQMZBToLLnF/HDJDFDc2AxQEPj0KLA==" value="&quot;RA==&quot;"/>
    <we:property name="JQMZBToLLnF/HDJDFDc2AxQEPj0NKQ==" value="&quot;QA==&quot;"/>
    <we:property name="JQMZBToLLnF/HDJDFDc2AxQEPj0NNmA=" value="&quot;VU1LQQ==&quot;"/>
    <we:property name="JQMZBToLLnF/HDJDFDc2AxQEPj0NNmM=" value="&quot;VU9LQQ==&quot;"/>
    <we:property name="JQMZBToLLnF/HDJDFDc2AxQEPj0bPg==" value="&quot;RQ==&quot;"/>
    <we:property name="JQMZBToLLnF/HDJDFDc2AxQEPj8aPw==" value="&quot;RV9GUX9YamA=&quot;"/>
    <we:property name="JQMZBToLLnF/HDJDFDc2AxQEPjkJNg==" value="&quot;RQ==&quot;"/>
    <we:property name="JQMZBToLLnF/HDJDFDc2AxQEPjsHNg==" value="&quot;RV9GUA==&quot;"/>
    <we:property name="JQMZBToLLnF/HDJDFDc2AxQEPjwHOQ==" value="&quot;RQ==&quot;"/>
    <we:property name="JQMZBToLLnF/HDJDFDc2AxQEPjwLNg==" value="&quot;RA==&quot;"/>
    <we:property name="JQMZBToLLnF/HDJDFDc2AxQEPjwbIA==" value="&quot;REFG&quot;"/>
    <we:property name="JQMZBToLLnF/HDJDFDc2AxQEPjwcOw==" value="&quot;RQ==&quot;"/>
    <we:property name="JQMZBToLLnF/HDJDKDow" value="&quot;UTVSUHc=&quot;"/>
    <we:property name="JQMZBToLLnF/HDJDKjkiOBgY" value="&quot;RA==&quot;"/>
    <we:property name="JQMZBToLLnF/HDJDMTkoHBAUDSob" value="&quot;UTVSWHVMHHUL&quot;"/>
    <we:property name="JhgCFC6PuT4SPGpPRws/GFEkBDwcKDjVgC8RRg47BxgXAyMNKQ==" value="&quot;UTJSUH5SfhQWRHs=&quot;"/>
    <we:property name="JhgCFC6PuT4SPGpPRws/GFEkBDwcKDjVgC8RRg47BxgXAyMNKWA=" value="&quot;&quot;"/>
    <we:property name="JhgCFC6PuT4SPGpPRws/GFEkBDwcKDjVgC8RRg47BxgXAyMNKWE=" value="&quot;&quot;"/>
    <we:property name="JhgCFC6PuT4SPGpPRws/GFEkBDwcKDjVgC8RRg47BxgXAyMNKWI=" value="&quot;&quot;"/>
    <we:property name="JhgCFC6PuT4SPGpPRws/GFEkBDwcKDjVgC8RRg47BxgXAyMNKWM=" value="&quot;&quot;"/>
    <we:property name="JhgCFC6PuT4SPGpPRws/GFEkBDwcKDjVgC8RRg47BxgXAyMNKWQ=" value="&quot;&quot;"/>
    <we:property name="JhgCFC6PuT4SPGpPRws/GFEkBDwcKDjVgC8RRg47BxgXAyMNKWU=" value="&quot;&quot;"/>
    <we:property name="JhgCFC6PuT4SPGpPRws/GFEkBDwcKDjVgC8RRhU7DTwfDw==" value="&quot;RA==&quot;"/>
    <we:property name="JhgCFC6PuT4SPGpPRws/GFEkBDwcKDjVgC8RRhc4Hw==" value="&quot;UTZSWA==&quot;"/>
    <we:property name="JhgCFC6PuT4SPGpPRws/GFEkBDwcKDjVgC8RRis1GQcTExABKiI=" value="&quot;RV9PWA==&quot;"/>
    <we:property name="JhgCFC6PuT4SPGpPRws/GFEkBDwcKDjVgC8RRis1GQcTExABKjU=" value="&quot;Rg==&quot;"/>
    <we:property name="JhgCFC6PuT4SPGpPRws/GFEkBDwcKDjVgC8RRis1GQcTExABKjg=" value="&quot;RA==&quot;"/>
    <we:property name="JhgCFC6PuT4SPGpPRws/GFEkBDwcKDjVgC8RRis1GQcTExAEKiE=" value="&quot;RQ==&quot;"/>
    <we:property name="JhgCFC6PuT4SPGpPRws/GFEkBDwcKDjVgC8RRis1GQcTExAEKiU=" value="&quot;RQ==&quot;"/>
    <we:property name="JhgCFC6PuT4SPGpPRws/GFEkBDwcKDjVgC8RRis1GQcTExAFKCU=" value="&quot;RV9GVno=&quot;"/>
    <we:property name="JhgCFC6PuT4SPGpPRws/GFEkBDwcKDjVgC8RRis1GQcTExAFKT0=" value="&quot;RQ==&quot;"/>
    <we:property name="JhgCFC6PuT4SPGpPRws/GFEkBDwcKDjVgC8RRis1GQcTExAFNDg=" value="&quot;RkE=&quot;"/>
    <we:property name="JhgCFC6PuT4SPGpPRws/GFEkBDwcKDjVgC8RRis1GQcTExAFPyU=" value="&quot;RA==&quot;"/>
    <we:property name="JhgCFC6PuT4SPGpPRws/GFEkBDwcKDjVgC8RRis1GQcTExAGLzw=" value="&quot;RA==&quot;"/>
    <we:property name="JhgCFC6PuT4SPGpPRws/GFEkBDwcKDjVgC8RRis1GQcTExAGPzY=" value="&quot;RA==&quot;"/>
    <we:property name="JhgCFC6PuT4SPGpPRws/GFEkBDwcKDjVgC8RRis1GQcTExAJKCI=" value="&quot;RA==&quot;"/>
    <we:property name="JhgCFC6PuT4SPGpPRws/GFEkBDwcKDjVgC8RRis1GQcTExAJOTI=" value="&quot;RV9GUX4=&quot;"/>
    <we:property name="JhgCFC6PuT4SPGpPRws/GFEkBDwcKDjVgC8RRis1GQcTExALLDY=" value="&quot;RV9GUX9Z&quot;"/>
    <we:property name="JhgCFC6PuT4SPGpPRws/GFEkBDwcKDjVgC8RRis1GQcTExANNDY=" value="&quot;OSE=&quot;"/>
    <we:property name="JhgCFC6PuT4SPGpPRws/GFEkBDwcKDjVgC8RRis1GQcTExAOPzA=" value="&quot;RV9GUX9YamA=&quot;"/>
    <we:property name="JhgCFC6PuT4SPGpPRws/GFEkBDwcKDjVgC8RRis1GQcTExAPOyE=" value="&quot;RV9GUX9YamA=&quot;"/>
    <we:property name="JhgCFC6PuT4SPGpPRws/GFEkBDwcKDjVgC8RRis1GQcTExAYKDQ=" value="&quot;RV9GUX9YamA=&quot;"/>
    <we:property name="JhgCFC6PuT4SPGpPRws/GFEkBDwcKDjVgC8RRis1GQcTExAaKTU=" value="&quot;RQ==&quot;"/>
    <we:property name="JhgCFC6PuT4SPGpPRws/GFEkBDwcKDjVgC8RRis1GQcTExAaNik=" value="&quot;RQ==&quot;"/>
    <we:property name="JhgCFC6PuT4SPGpPRws/GFEkBDwcKDjVgC8RRis1GQcTExAaOCc=" value="&quot;RA==&quot;"/>
    <we:property name="JhgCFC6PuT4SPGpPRws/GFEkBDwcKDjVgC8RRis1GQcTExAaPyI=" value="&quot;QA==&quot;"/>
    <we:property name="JhgCFC6PuT4SPGpPRws/GFEkBDwcKDjVgC8RRis1GQcTExAbKSs=" value="&quot;REFG&quot;"/>
    <we:property name="JhgCFC6PuT4SPGpPRws/GFEkBDwcKDjVgC8RRis1GQcTExAbLjA=" value="&quot;RQ==&quot;"/>
    <we:property name="JhgCFC6PuT4SPGpPRws/GFEkBDwcKDjVgC8RRis1GQcTExAbNTI=" value="&quot;RQ==&quot;"/>
    <we:property name="JhgCFC6PuT4SPGpPRws/GFEkBDwcKDjVgC8RRis1GQcTExAbOT0=" value="&quot;RA==&quot;"/>
    <we:property name="JhgCFC6PuT4SPGpPRws/GFEkBDwcKDjVgC8RRis1GQcTExAcNT0=" value="&quot;RV9GUA==&quot;"/>
    <we:property name="JhgCFC6PuT4SPGpPRws/GFEkBDwcKDjVgC8RRis1GQcTExAeOz0=" value="&quot;RQ==&quot;"/>
    <we:property name="OhMc" value="&quot;&quot;"/>
    <we:property name="UniqueID" value="&quot;2024311711983425048&quot;"/>
    <we:property name="JhgCFC6PuT4SPGpPRws/GFEkBDwcKDjVgC8RRis1GQcTExAEMiID" value="&quot;UTdSV3VMHHUF&quot;"/>
    <we:property name="JhgCFC6PuT4SPGpPRws/GFEkBDwcKDjVgC8RRis1GQcTExAaPz0D" value="&quot;VU1LQQ==&quot;"/>
    <we:property name="JhgCFC6PuT4SPGpPRws/GFEkBDwcKDjVgC8RRis1GQcTExAaMiID" value="&quot;UTZSV3VMHXUF&quot;"/>
    <we:property name="JhgCFC6PuT4SPGpPRws/GFEkBDwcKDjVgC8RRis1GQcTExAEMiIA" value="&quot;&quot;"/>
    <we:property name="JhgCFC6PuT4SPGpPRws/GFEkBDwcKDjVgC8RRis1GQcTExAaPz0A" value="&quot;VU1LQQ==&quot;"/>
    <we:property name="JhgCFC6PuT4SPGpPRws/GFEkBDwcKDjVgC8RRis1GQcTExAaMiIA" value="&quot;&quot;"/>
    <we:property name="JhgCFC6PuT4SPGpPRws/GFEkBDwcKDjVgC8RRis1GQcTExAEMiIB" value="&quot;&quot;"/>
    <we:property name="JhgCFC6PuT4SPGpPRws/GFEkBDwcKDjVgC8RRis1GQcTExAaPz0B" value="&quot;VU1LQQ==&quot;"/>
    <we:property name="JhgCFC6PuT4SPGpPRws/GFEkBDwcKDjVgC8RRis1GQcTExAaMiIB" value="&quot;&quot;"/>
    <we:property name="JhgCFC6PuT4SPANCSngKVU1LQR5IPjhEVXlDFDc2AxQEPioGPQ==" value="&quot;OSE=&quot;"/>
    <we:property name="JhgCFC6PuT4SPANCSngKVU1LQR5IPjhEVXlDKjkiOBgY" value="&quot;RA==&quot;"/>
    <we:property name="JhgCFC6PuT4SPANCSngKVU1LQR5IPjhEVXlDKDow" value="&quot;UTZSWA==&quot;"/>
    <we:property name="JhgCFC6PuT4SPANCSngKVU1LQR5IPjhEVXlDMTkoHBAUDSob" value="&quot;UTJSUH5SfhQWRHs=&quot;"/>
    <we:property name="JhgCFC6PuT4SPANCSngKVU1LQR5IPjhEVXlDMTkoHBAUDSobaw==" value="&quot;&quot;"/>
    <we:property name="JhgCFC6PuT4SPANCSngKVU1LQR5IPjhEVXlDFDc2AxQEPiEdNw==" value="&quot;Rg==&quot;"/>
    <we:property name="JhgCFC6PuT4SPANCSngKVU1LQR5IPjhEVXlDFDc2AxQEPiMAKWA=" value="&quot;UTJSUH4=&quot;"/>
    <we:property name="JhgCFC6PuT4SPANCSngKVU1LQR5IPjhEVXlDFDc2AxQEPj0NNmA=" value="&quot;VU1LQQ==&quot;"/>
    <we:property name="JhgCFC6PuT4SPANCSngKVU1LQR5IPjhEVXlDFDc2AxQEPj0AKWA=" value="&quot;UTVSU34=&quot;"/>
    <we:property name="JhgCFC6PuT4SPANCSngKVU1LQR5IPjhEVXlDFDc2AxQEPiMAKWM=" value="&quot;UTJSUH5SfhQWRHs=&quot;"/>
    <we:property name="JhgCFC6PuT4SPANCSngKVU1LQR5IPjhEVXlDFDc2AxQEPj0NNmM=" value="&quot;VU9LQQ==&quot;"/>
    <we:property name="JhgCFC6PuT4SPANCSngKVU1LQR5IPjhEVXlDFDc2AxQEPj0AKWM=" value="&quot;RQ==&quot;"/>
    <we:property name="JhgCFC6PuT4SPANCSngKVU1LQR5IPjhEVXlDFDc2AxQEPiMAKWI=" value="&quot;UTdSV3VMHHUF&quot;"/>
    <we:property name="JhgCFC6PuT4SPANCSngKVU1LQR5IPjhEVXlDFDc2AxQEPj0NNmI=" value="&quot;VU1LQQ==&quot;"/>
    <we:property name="JhgCFC6PuT4SPANCSngKVU1LQR5IPjhEVXlDFDc2AxQEPj0AKWI=" value="&quot;UTZSV3VMHXUF&quot;"/>
    <we:property name="JhgCFC6PuT4SPANCSngKVU1LQR5IPjhEVXlDFDc2AxQEPiMAKWU=" value="&quot;&quot;"/>
    <we:property name="JhgCFC6PuT4SPANCSngKVU1LQR5IPjhEVXlDFDc2AxQEPj0NNmU=" value="&quot;VU1LQQ==&quot;"/>
    <we:property name="JhgCFC6PuT4SPANCSngKVU1LQR5IPjhEVXlDFDc2AxQEPj0AKWU=" value="&quot;&quot;"/>
    <we:property name="JhgCFC6PuT4SPAMrR3V6JVFKXG8FPzVbFGIzS3gIXFA5AyU=" value="&quot;UTZSWA==&quot;"/>
    <we:property name="JhgCFC6PuT4SPAMrR3V6JVFKXG8FPzVbFGIzS3gIXFA7ADclMz8=" value="&quot;RA==&quot;"/>
    <we:property name="JhgCFC6PuT4SPAMrR3V6JVFKXG8FPzVbFGIzS3gIXFAgAD0BOzNeEDk=" value="&quot;UTJSUH5SfhQWRHs=&quot;"/>
    <we:property name="JhgCFC6PuT4SPAMrR3V6JVFKXG8FPzVbFGIzS3gIXFAgAD0BOzNeEDlT" value="&quot;&quot;"/>
    <we:property name="JhgCFC6PuT4SPAMrR3V6JVFKXG8FPzVbFGIzS3gIXFAgAD0BOzNeEDlQ" value="&quot;&quot;"/>
    <we:property name="JhgCFC6PuT4SPANCSngKVU1LQR5IPjhEVXlDFDc2AxQEPiMAKWQ=" value="&quot;&quot;"/>
    <we:property name="JhgCFC6PuT4SPANCSngKVU1LQR5IPjhEVXlDFDc2AxQEPj0NNmQ=" value="&quot;VU1LQQ==&quot;"/>
    <we:property name="JhgCFC6PuT4SPANCSngKVU1LQR5IPjhEVXlDFDc2AxQEPj0AKWQ=" value="&quot;&quot;"/>
    <we:property name="JhgCFC6PuT4SPANCSngKVU1LQR5IPjhEVXlDFDc2AxQEPiMAKWc=" value="&quot;&quot;"/>
    <we:property name="JhgCFC6PuT4SPANCSngKVU1LQR5IPjhEVXlDFDc2AxQEPj0NNmc=" value="&quot;VU1LQQ==&quot;"/>
    <we:property name="JhgCFC6PuT4SPANCSngKVU1LQR5IPjhEVXlDFDc2AxQEPj0AKWc=" value="&quot;&quot;"/>
    <we:property name="JhgCFC6PuT4SPAMrR3V6JVFKXG8FPzVbFGIzS3gIXFAFDiMePyNtECQF" value="&quot;OSE=&quot;"/>
    <we:property name="JhgCFC6PuT4SPAMrR3V6JVFKXG8FPzVbFGIzS3gIXFAFDiMePyNtGz8P" value="&quot;Rg==&quot;"/>
    <we:property name="JhgCFC6PuT4SPAMrR3V6JVFKXG8FPzVbFGIzS3gIXFAFDiMePyNtGSIRVg==" value="&quot;UTJSUH4=&quot;"/>
    <we:property name="JhgCFC6PuT4SPAMrR3V6JVFKXG8FPzVbFGIzS3gIXFAFDiMePyNtBy8OVg==" value="&quot;VU1LQQ==&quot;"/>
    <we:property name="JhgCFC6PuT4SPAMrR3V6JVFKXG8FPzVbFGIzS3gIXFAFDiMePyNtByIRVg==" value="&quot;UTVSU34=&quot;"/>
    <we:property name="JhgCFC6PuT4SPAMrR3V6JVFKXG8FPzVbFGIzS3gIXFAFDiMePyNtGSIRVQ==" value="&quot;UTdSV3VMHHUF&quot;"/>
    <we:property name="JhgCFC6PuT4SPAMrR3V6JVFKXG8FPzVbFGIzS3gIXFAFDiMePyNtBy8OVQ==" value="&quot;VU1LQQ==&quot;"/>
    <we:property name="JhgCFC6PuT4SPAMrR3V6JVFKXG8FPzVbFGIzS3gIXFAFDiMePyNtByIRVQ==" value="&quot;UTZSV3VMHXUF&quot;"/>
    <we:property name="JhgCFC6PuT4SPAMrR3V6JVFKXG8FPzVbFGIzS3gIXFAFDiMePyNtGSIRVA==" value="&quot;UTJSUH5SfhQWRHs=&quot;"/>
    <we:property name="JhgCFC6PuT4SPAMrR3V6JVFKXG8FPzVbFGIzS3gIXFAFDiMePyNtBy8OVA==" value="&quot;VU9LQQ==&quot;"/>
    <we:property name="JhgCFC6PuT4SPAMrR3V6JVFKXG8FPzVbFGIzS3gIXFAFDiMePyNtByIRVA==" value="&quot;RQ==&quot;"/>
    <we:property name="JhgCFC6PuT4SPAMrR3V6JVFKXG8FPzVbFGIzS3gIXFAFDiMePyNtGSIRUw==" value="&quot;&quot;"/>
    <we:property name="JhgCFC6PuT4SPAMrR3V6JVFKXG8FPzVbFGIzS3gIXFAFDiMePyNtBy8OUw==" value="&quot;VU1LQQ==&quot;"/>
    <we:property name="JhgCFC6PuT4SPAMrR3V6JVFKXG8FPzVbFGIzS3gIXFAFDiMePyNtByIRUw==" value="&quot;&quot;"/>
    <we:property name="JhgCFC6PuT4SPAMrR3V6JVFKXG8FPzVbFGIzS3gIXFAFDiMePyNtAysO" value="&quot;RQ==&quot;"/>
    <we:property name="JhgCFC6PuT4SPAMrR3V6JVFKXG8FPzVbFGIzS3gIXFAFDiMePyNtBTgH" value="&quot;RV9GUX9YamA=&quot;"/>
    <we:property name="JhgCFC6PuT4SPAMrR3V6JVFKXG8FPzVbFGIzS3gIXFAFDiMePyNtBikO" value="&quot;RA==&quot;"/>
    <we:property name="JhgCFC6PuT4SPAMrR3V6JVFKXG8FPzVbFGIzS3gIXFAFDiMePyNtByYa" value="&quot;RQ==&quot;"/>
    <we:property name="JhgCFC6PuT4SPAMrR3V6JVFKXG8FPzVbFGIzS3gIXFAFDiMePyNtASUO" value="&quot;RV9GUA==&quot;"/>
    <we:property name="JhgCFC6PuT4SPAMrR3V6JVFKXG8FPzVbFGIzS3gIXFAFDiMePyNtFjwF" value="&quot;RV9GUX9Z&quot;"/>
    <we:property name="JhgCFC6PuT4SPAMrR3V6JVFKXG8FPzVbFGIzS3gIXFAFDiMePyNtGDkO" value="&quot;RQ==&quot;"/>
    <we:property name="JhgCFC6PuT4SPAMrR3V6JVFKXG8FPzVbFGIzS3gIXFAFDiMePyNtBjkY" value="&quot;REFG&quot;"/>
    <we:property name="JhgCFC6PuT4SPAMrR3V6JVFKXG8FPzVbFGIzS3gIXFAFDiMePyNtBzkG" value="&quot;RQ==&quot;"/>
    <we:property name="JhgCFC6PuT4SPAMrR3V6JVFKXG8FPzVbFGIzS3gIXFAFDiMePyNtGDgW" value="&quot;RV9GVno=&quot;"/>
    <we:property name="JhgCFC6PuT4SPAMrR3V6JVFKXG8FPzVbFGIzS3gIXFAFDiMePyNtGCQL" value="&quot;RkE=&quot;"/>
    <we:property name="JhgCFC6PuT4SPAMrR3V6JVFKXG8FPzVbFGIzS3gIXFAFDiMePyNtBygU" value="&quot;RA==&quot;"/>
    <we:property name="JhgCFC6PuT4SPAMrR3V6JVFKXG8FPzVbFGIzS3gIXFAFDiMePyNtGy8F" value="&quot;RA==&quot;"/>
    <we:property name="JhgCFC6PuT4SPAMrR3V6JVFKXG8FPzVbFGIzS3gIXFAFDiMePyNtFCkB" value="&quot;RV9GUX4=&quot;"/>
    <we:property name="JhgCFC6PuT4SPAMrR3V6JVFKXG8FPzVbFGIzS3gIXFAFDiMePyNtBy8R" value="&quot;QA==&quot;"/>
    <we:property name="JhgCFC6PuT4SPAMrR3V6JVFKXG8FPzVbFGIzS3gIXFAFDiMePyNtFDgR" value="&quot;RA==&quot;"/>
    <we:property name="JhgCFC6PuT4SPAMrR3V6JVFKXG8FPzVbFGIzS3gIXFAFDiMePyNtBj4D" value="&quot;RQ==&quot;"/>
    <we:property name="JhgCFC6PuT4SPAMrR3V6JVFKXG8FPzVbFGIzS3gIXFAFDiMePyNtGC8W" value="&quot;RA==&quot;"/>
    <we:property name="JhgCFC6PuT4SPAMrR3V6JVFKXG8FPzVbFGIzS3gIXFAFDiMePyNtBiUB" value="&quot;RQ==&quot;"/>
    <we:property name="JhgCFC6PuT4SPAMrR3V6JVFKXG8FPzVbFGIzS3gIXFAFDiMePyNtGToW" value="&quot;RQ==&quot;"/>
    <we:property name="JhgCFC6PuT4SPAMrR3V6JVFKXG8FPzVbFGIzS3gIXFAFDiMePyNtGToS" value="&quot;RQ==&quot;"/>
    <we:property name="JhgCFC6PuT4SPAMrR3V6JVFKXG8FPzVbFGIzS3gIXFAFDiMePyNtEisS" value="&quot;RV9GUX9YamA=&quot;"/>
    <we:property name="JhgCFC6PuT4SPAMrR3V6JVFKXG8FPzVbFGIzS3gIXFAFDiMePyNtHDoR" value="&quot;RV9PWA==&quot;"/>
    <we:property name="JhgCFC6PuT4SPAMrR3V6JVFKXG8FPzVbFGIzS3gIXFAFDiMePyNtEy8D" value="&quot;RV9GUX9YamA=&quot;"/>
    <we:property name="JhgCFC6PuT4SPAMrR3V6JVFKXG8FPzVbFGIzS3gIXFAFDiMePyNtHDoL" value="&quot;RA==&quot;"/>
    <we:property name="JhgCFC6PuT4SPAMrR3V6JVFKXG8FPzVbFGIzS3gIXFAFDiMePyNtHDoG" value="&quot;Rg==&quot;"/>
    <we:property name="JhgCFC6PuT4SPAMrR3V6JVFKXG8FPzVbFGIzS3gIXFAFDiMePyNtGSIRUg==" value="&quot;&quot;"/>
    <we:property name="JhgCFC6PuT4SPAMrR3V6JVFKXG8FPzVbFGIzS3gIXFAFDiMePyNtBy8OUg==" value="&quot;VU1LQQ==&quot;"/>
    <we:property name="JhgCFC6PuT4SPAMrR3V6JVFKXG8FPzVbFGIzS3gIXFAFDiMePyNtByIRUg==" value="&quot;&quot;"/>
    <we:property name="JhgCFC6PuT4SPAMrR3V6JVFKXG8FPzVbFGIzS3gIXFAFDiMePyNtGSIRUQ==" value="&quot;&quot;"/>
    <we:property name="JhgCFC6PuT4SPAMrR3V6JVFKXG8FPzVbFGIzS3gIXFAFDiMePyNtBy8OUQ==" value="&quot;VU1LQQ==&quot;"/>
    <we:property name="JhgCFC6PuT4SPAMrR3V6JVFKXG8FPzVbFGIzS3gIXFAFDiMePyNtByIRUQ==" value="&quot;&quot;"/>
    <we:property name="JhgCFC6PuT4SPAMrR3V6JVFKXG8FPzVbFGIzS3gIXFAFDiMePyNtGSIRUA==" value="&quot;&quot;"/>
    <we:property name="JhgCFC6PuT4SPAMrR3V6JVFKXG8FPzVbFGIzS3gIXFAFDiMePyNtBy8OUA==" value="&quot;VU1LQQ==&quot;"/>
    <we:property name="JhgCFC6PuT4SPAMrR3V6JVFKXG8FPzVbFGIzS3gIXFAFDiMePyNtByIRUA==" value="&quot;&quot;"/>
    <we:property name="JhgCFC6PuT4SPAMrR3V6JVFKXG8FPzVbFGIzS3gIXFAgAD0BOzNeEDlR" value="&quot;&quot;"/>
    <we:property name="JhgCFC6PuT4SPANCSngKVU1LQR5IPjhEVXlCT2pzVAIZDTkNKA5XGy0=" value="&quot;MiMx&quot;"/>
    <we:property name="JhgCFC6PuT4SPANCSngKVU1LQR5IPjhEVXlCT2pzVDwXGQIBNA==" value="&quot;RA==&quot;"/>
    <we:property name="JhgCFC6PuT4SPANCSngKVU1LQR5IPjhEVXlCT2pzVD4UCw==" value="&quot;&quot;"/>
    <we:property name="JhgCFC6PuT4SPANCSngKVU1LQR5IPjhEVXlCT2pzVAIZDTkNKA5cEC0=" value="&quot;RA==&quot;"/>
    <we:property name="JhgCFC6PuT4SPANCSngKVU1LQR5IPjhEVXlCT2pzVAIZDTkNKA5CBy8=" value="&quot;RV9GUX9YamA=&quot;"/>
    <we:property name="JhgCFC6PuT4SPANCSngKVU1LQR5IPjhEVXlCT2pzVAIZDTkNKA5BFiY=" value="&quot;RA==&quot;"/>
    <we:property name="JhgCFC6PuT4SPANCSngKVU1LQR5IPjhEVXlCT2pzVAIZDTkNKA5AGTI=" value="&quot;RQ==&quot;"/>
    <we:property name="JhgCFC6PuT4SPANCSngKVU1LQR5IPjhEVXlCT2pzVAIZDTkNKA5GGiY=" value="&quot;RV9GUA==&quot;"/>
    <we:property name="JhgCFC6PuT4SPANCSngKVU1LQR5IPjhEVXlCT2pzVAIZDTkNKA5RAy0=" value="&quot;RV9GUX9Z&quot;"/>
    <we:property name="JhgCFC6PuT4SPANCSngKVU1LQR5IPjhEVXlCT2pzVAIZDTkNKA5fBiY=" value="&quot;RQ==&quot;"/>
    <we:property name="JhgCFC6PuT4SPANCSngKVU1LQR5IPjhEVXlCT2pzVAIZDTkNKA5BBjA=" value="&quot;REFG&quot;"/>
    <we:property name="JhgCFC6PuT4SPANCSngKVU1LQR5IPjhEVXlCT2pzVAIZDTkNKA5ABi4=" value="&quot;RQ==&quot;"/>
    <we:property name="JhgCFC6PuT4SPANCSngKVU1LQR5IPjhEVXlCT2pzVAIZDTkNKA5fBz4=" value="&quot;RV9GVno=&quot;"/>
    <we:property name="JhgCFC6PuT4SPANCSngKVU1LQR5IPjhEVXlCT2pzVAIZDTkNKA5fGyM=" value="&quot;RkE=&quot;"/>
    <we:property name="JhgCFC6PuT4SPANCSngKVU1LQR5IPjhEVXlCT2pzVAIZDTkNKA5AFzw=" value="&quot;RA==&quot;"/>
    <we:property name="JhgCFC6PuT4SPANCSngKVU1LQR5IPjhEVXlCT2pzVAIZDTkNKA5cATg=" value="&quot;Rw==&quot;"/>
    <we:property name="JhgCFC6PuT4SPANCSngKVU1LQR5IPjhEVXlCT2pzVAIZDTkNKA5TFik=" value="&quot;RV9GUX4=&quot;"/>
    <we:property name="JhgCFC6PuT4SPANCSngKVU1LQR5IPjhEVXlCT2pzVAIZDTkNKA5AEDk=" value="&quot;QA==&quot;"/>
    <we:property name="JhgCFC6PuT4SPANCSngKVU1LQR5IPjhEVXlCT2pzVAIZDTkNKA5TBzk=" value="&quot;RA==&quot;"/>
    <we:property name="JhgCFC6PuT4SPANCSngKVU1LQR5IPjhEVXlCT2pzVAIZDTkNKA5BASs=" value="&quot;RQ==&quot;"/>
    <we:property name="JhgCFC6PuT4SPANCSngKVU1LQR5IPjhEVXlCT2pzVAIZDTkNKA5fED4=" value="&quot;Rw==&quot;"/>
    <we:property name="JhgCFC6PuT4SPANCSngKVU1LQR5IPjhEVXlCT2pzVAIZDTkNKA5BGik=" value="&quot;RQ==&quot;"/>
    <we:property name="JhgCFC6PuT4SPANCSngKVU1LQR5IPjhEVXlCT2pzVAIZDTkNKA5eBT4=" value="&quot;RQ==&quot;"/>
    <we:property name="JhgCFC6PuT4SPANCSngKVU1LQR5IPjhEVXlCT2pzVAIZDTkNKA5eBTo=" value="&quot;RQ==&quot;"/>
    <we:property name="JhgCFC6PuT4SPANCSngKVU1LQR5IPjhEVXlCT2pzVAIZDTkNKA5VFDo=" value="&quot;RV9GUX9YamA=&quot;"/>
    <we:property name="JhgCFC6PuT4SPANCSngKVU1LQR5IPjhEVXlCT2pzVAIZDTkNKA5bBTk=" value="&quot;RV9PWA==&quot;"/>
    <we:property name="JhgCFC6PuT4SPANCSngKVU1LQR5IPjhEVXlCT2pzVAIZDTkNKA5UECs=" value="&quot;RV9GUX9YamA=&quot;"/>
    <we:property name="JhgCFC6PuT4SPANCSngKVU1LQR5IPjhEVXlCT2pzVAIZDTkNKA5bBSM=" value="&quot;RA==&quot;"/>
    <we:property name="JhgCFC6PuT4SPANCSngKVU1LQR5IPjhEVXlCT2pzVAIZDTkNKA5bBS4=" value="&quot;Rg==&quot;"/>
    <we:property name="JhgCFC6PuT4SPAMrR3V6JVFKXG8FPzVbFGIzS3gIXFAFDiMePyNtGSIRXw==" value="&quot;&quot;"/>
    <we:property name="JhgCFC6PuT4SPAMrR3V6JVFKXG8FPzVbFGIzS3gIXFAFDiMePyNtBy8OXw==" value="&quot;VU1LQQ==&quot;"/>
    <we:property name="JhgCFC6PuT4SPAMrR3V6JVFKXG8FPzVbFGIzS3gIXFAFDiMePyNtByIRXw==" value="&quot;&quot;"/>
  </we:properties>
  <we:bindings>
    <we:binding id="Var$F$14" type="matrix" appref="{9CC2EB63-0CCB-43D8-A85D-FC32B9FED1BE}"/>
    <we:binding id="Var$F$15" type="matrix" appref="{C8CF06A8-68DA-4156-885C-D6C0B11D0FC6}"/>
    <we:binding id="Var$F$16" type="matrix" appref="{706BC3EE-CD34-465D-95CC-5F0870AC0A82}"/>
    <we:binding id="1Var0" type="matrix" appref="{958E9B2E-63D4-4576-93F2-2ACEC188838C}"/>
    <we:binding id="2Var0" type="matrix" appref="{D21254C8-762F-4572-A02A-08BAE276FF73}"/>
    <we:binding id="Var0" type="matrix" appref="{4FC19B42-5D70-4B32-ADE2-2F6619836AF8}"/>
    <we:binding id="Var$D$9:$F$9" type="matrix" appref="{84A28921-B2BB-4B6F-84E8-F670E2E84C1F}"/>
    <we:binding id="Var$F$14:$F$16" type="matrix" appref="{40EE0A53-9779-4D87-93FD-D4AC25448743}"/>
    <we:binding id="Var$C$11:$E$11" type="matrix" appref="{9B54CB13-998A-4CED-9B15-A10DD9D7025E}"/>
    <we:binding id="Situação II - P &lt;= Q div 3 (2)refEdit" type="matrix" appref="{111E8A66-9098-436F-A922-631B4743C135}"/>
    <we:binding id="Situação II - P &lt;= Q div 3 (2)Worker" type="matrix" appref="{DB802569-D7E8-4EC5-843D-D5D9F689EBC9}"/>
    <we:binding id="refEdit" type="matrix" appref="{2B010FD1-FA99-4865-BAD2-27BD17575F5C}"/>
    <we:binding id="Worker" type="matrix" appref="{51F62EAA-EF6F-4909-9BA7-CF841F8BD971}"/>
    <we:binding id="Obj" type="matrix" appref="{4663B0BC-A81F-49AE-A0DB-2BD39BE06F47}"/>
  </we:bindings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>
      <selection activeCell="A10" sqref="A10"/>
    </sheetView>
  </sheetViews>
  <sheetFormatPr defaultRowHeight="15"/>
  <cols>
    <col min="1" max="1" width="174.42578125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6" spans="1:1">
      <c r="A6" s="1" t="s">
        <v>4</v>
      </c>
    </row>
    <row r="7" spans="1:1">
      <c r="A7" s="32" t="s">
        <v>5</v>
      </c>
    </row>
    <row r="8" spans="1:1">
      <c r="A8" s="32" t="s">
        <v>6</v>
      </c>
    </row>
    <row r="9" spans="1:1" ht="29.25">
      <c r="A9" s="32" t="s">
        <v>7</v>
      </c>
    </row>
    <row r="10" spans="1:1" ht="29.25">
      <c r="A10" s="32" t="s">
        <v>8</v>
      </c>
    </row>
  </sheetData>
  <pageMargins left="0.7" right="0.7" top="0.75" bottom="0.75" header="0.3" footer="0.3"/>
  <extLst>
    <ext xmlns:x15="http://schemas.microsoft.com/office/spreadsheetml/2010/11/main" uri="{F7C9EE02-42E1-4005-9D12-6889AFFD525C}">
      <x15:webExtensions xmlns:xm="http://schemas.microsoft.com/office/excel/2006/main">
        <x15:webExtension appRef="{E118C42C-BDA0-4CBA-B602-E77692B3C96C}">
          <xm:f>#REF!</xm:f>
        </x15:webExtension>
        <x15:webExtension appRef="{C67FAF46-714F-48FC-96D0-FA3C56B7534C}">
          <xm:f>#REF!</xm:f>
        </x15:webExtension>
        <x15:webExtension appRef="{530E9012-A3D3-4D82-BEF4-F8157C28A1AB}">
          <xm:f>#REF!</xm:f>
        </x15:webExtension>
        <x15:webExtension appRef="{CBFB82F6-7FDA-45EE-A468-A60566BC2D6F}">
          <xm:f>#REF!</xm:f>
        </x15:webExtension>
        <x15:webExtension appRef="{A3A974B6-1C7E-4CF3-9AF6-C68BC2E44EF6}">
          <xm:f>#REF!</xm:f>
        </x15:webExtension>
        <x15:webExtension appRef="{72807173-57A1-4A53-9F41-B1ED6D65BC16}">
          <xm:f>#REF!</xm:f>
        </x15:webExtension>
        <x15:webExtension appRef="{4B7F8C36-EF81-4ADF-AF67-CC7DA7ECC51A}">
          <xm:f>#REF!</xm:f>
        </x15:webExtension>
        <x15:webExtension appRef="{FB17313C-8FA9-4B41-8D67-0542F9B65459}">
          <xm:f>#REF!</xm:f>
        </x15:webExtension>
        <x15:webExtension appRef="{4FC19B42-5D70-4B32-ADE2-2F6619836AF8}">
          <xm:f>#REF!</xm:f>
        </x15:webExtension>
        <x15:webExtension appRef="{84A28921-B2BB-4B6F-84E8-F670E2E84C1F}">
          <xm:f>#REF!</xm:f>
        </x15:webExtension>
        <x15:webExtension appRef="{4FC19B42-5D70-4B32-ADE2-2F6619836AF8}">
          <xm:f>#REF!</xm:f>
        </x15:webExtension>
        <x15:webExtension appRef="{84A28921-B2BB-4B6F-84E8-F670E2E84C1F}">
          <xm:f>#REF!</xm:f>
        </x15:webExtension>
        <x15:webExtension appRef="{4FC19B42-5D70-4B32-ADE2-2F6619836AF8}">
          <xm:f>#REF!</xm:f>
        </x15:webExtension>
        <x15:webExtension appRef="{84A28921-B2BB-4B6F-84E8-F670E2E84C1F}">
          <xm:f>#REF!</xm:f>
        </x15:webExtension>
        <x15:webExtension appRef="{4FC19B42-5D70-4B32-ADE2-2F6619836AF8}">
          <xm:f>#REF!</xm:f>
        </x15:webExtension>
        <x15:webExtension appRef="{84A28921-B2BB-4B6F-84E8-F670E2E84C1F}">
          <xm:f>#REF!</xm:f>
        </x15:webExtension>
        <x15:webExtension appRef="{4FC19B42-5D70-4B32-ADE2-2F6619836AF8}">
          <xm:f>#REF!</xm:f>
        </x15:webExtension>
        <x15:webExtension appRef="{84A28921-B2BB-4B6F-84E8-F670E2E84C1F}">
          <xm:f>#REF!</xm:f>
        </x15:webExtension>
        <x15:webExtension appRef="{4FC19B42-5D70-4B32-ADE2-2F6619836AF8}">
          <xm:f>#REF!</xm:f>
        </x15:webExtension>
        <x15:webExtension appRef="{84A28921-B2BB-4B6F-84E8-F670E2E84C1F}">
          <xm:f>#REF!</xm:f>
        </x15:webExtension>
        <x15:webExtension appRef="{81925A38-56CB-4173-99ED-FB55A87A3094}">
          <xm:f>#REF!</xm:f>
        </x15:webExtension>
        <x15:webExtension appRef="{BF2157B7-F6A3-4CAB-B6DA-3B6D70FB7AA6}">
          <xm:f>#REF!</xm:f>
        </x15:webExtension>
        <x15:webExtension appRef="{4FC19B42-5D70-4B32-ADE2-2F6619836AF8}">
          <xm:f>#REF!</xm:f>
        </x15:webExtension>
        <x15:webExtension appRef="{84A28921-B2BB-4B6F-84E8-F670E2E84C1F}">
          <xm:f>#REF!</xm:f>
        </x15:webExtension>
        <x15:webExtension appRef="{111E8A66-9098-436F-A922-631B4743C135}">
          <xm:f>#REF!</xm:f>
        </x15:webExtension>
        <x15:webExtension appRef="{DB802569-D7E8-4EC5-843D-D5D9F689EBC9}">
          <xm:f>#REF!</xm:f>
        </x15:webExtension>
      </x15:webExtens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3C44F-C14E-43A7-A9A0-219CE0261FF4}">
  <dimension ref="B2:F11"/>
  <sheetViews>
    <sheetView workbookViewId="0"/>
  </sheetViews>
  <sheetFormatPr defaultRowHeight="15"/>
  <cols>
    <col min="1" max="1" width="3.28515625" customWidth="1"/>
    <col min="2" max="2" width="20.7109375" bestFit="1" customWidth="1"/>
    <col min="3" max="3" width="12.7109375" customWidth="1"/>
    <col min="4" max="4" width="18.140625" bestFit="1" customWidth="1"/>
    <col min="5" max="5" width="9.5703125" bestFit="1" customWidth="1"/>
    <col min="6" max="6" width="14.7109375" bestFit="1" customWidth="1"/>
  </cols>
  <sheetData>
    <row r="2" spans="2:6">
      <c r="B2" s="15" t="s">
        <v>9</v>
      </c>
      <c r="C2" s="16" t="s">
        <v>10</v>
      </c>
      <c r="D2" s="16" t="s">
        <v>11</v>
      </c>
      <c r="E2" s="16" t="s">
        <v>12</v>
      </c>
      <c r="F2" s="15" t="s">
        <v>13</v>
      </c>
    </row>
    <row r="3" spans="2:6" ht="5.25" customHeight="1">
      <c r="B3" s="4"/>
      <c r="C3" s="4"/>
      <c r="D3" s="5"/>
      <c r="E3" s="5"/>
      <c r="F3" s="2"/>
    </row>
    <row r="4" spans="2:6">
      <c r="B4" s="4"/>
      <c r="C4" s="6"/>
      <c r="D4" s="19" t="s">
        <v>14</v>
      </c>
      <c r="E4" s="5"/>
      <c r="F4" s="18" t="s">
        <v>15</v>
      </c>
    </row>
    <row r="5" spans="2:6" ht="5.25" customHeight="1">
      <c r="B5" s="4"/>
      <c r="C5" s="4"/>
      <c r="D5" s="4"/>
      <c r="E5" s="4"/>
      <c r="F5" s="7"/>
    </row>
    <row r="6" spans="2:6">
      <c r="B6" s="8" t="s">
        <v>16</v>
      </c>
      <c r="C6" s="9">
        <v>4</v>
      </c>
      <c r="D6" s="3">
        <v>2</v>
      </c>
      <c r="E6" s="6">
        <v>2</v>
      </c>
      <c r="F6" s="7">
        <v>800</v>
      </c>
    </row>
    <row r="7" spans="2:6">
      <c r="B7" s="8" t="s">
        <v>17</v>
      </c>
      <c r="C7" s="8">
        <v>6</v>
      </c>
      <c r="D7" s="10">
        <v>8</v>
      </c>
      <c r="E7" s="11">
        <v>0</v>
      </c>
      <c r="F7" s="7">
        <v>1200</v>
      </c>
    </row>
    <row r="8" spans="2:6" ht="5.25" customHeight="1">
      <c r="B8" s="8"/>
      <c r="C8" s="2"/>
      <c r="D8" s="2"/>
      <c r="E8" s="2"/>
      <c r="F8" s="4"/>
    </row>
    <row r="9" spans="2:6">
      <c r="B9" s="17" t="s">
        <v>18</v>
      </c>
      <c r="C9" s="12"/>
      <c r="D9" s="20" t="s">
        <v>19</v>
      </c>
      <c r="E9" s="9"/>
      <c r="F9" s="2"/>
    </row>
    <row r="10" spans="2:6" ht="5.25" customHeight="1">
      <c r="B10" s="4"/>
      <c r="C10" s="5"/>
      <c r="D10" s="5"/>
      <c r="E10" s="13"/>
      <c r="F10" s="4"/>
    </row>
    <row r="11" spans="2:6">
      <c r="B11" s="5"/>
      <c r="C11" s="14">
        <v>75</v>
      </c>
      <c r="D11" s="14">
        <v>125</v>
      </c>
      <c r="E11" s="14"/>
      <c r="F11" s="5"/>
    </row>
  </sheetData>
  <pageMargins left="0.7" right="0.7" top="0.75" bottom="0.75" header="0.3" footer="0.3"/>
  <extLst>
    <ext xmlns:x15="http://schemas.microsoft.com/office/spreadsheetml/2010/11/main" uri="{F7C9EE02-42E1-4005-9D12-6889AFFD525C}">
      <x15:webExtensions xmlns:xm="http://schemas.microsoft.com/office/excel/2006/main">
        <x15:webExtension appRef="{4D976DD4-9A04-44CB-AEBF-60292991006F}">
          <xm:f>'Tabela base (enunciado)'!$C$11:$E$11</xm:f>
        </x15:webExtension>
      </x15:webExtens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C60C9-013E-4AF6-BC65-A04A8ECB8466}">
  <dimension ref="B2:G22"/>
  <sheetViews>
    <sheetView workbookViewId="0"/>
  </sheetViews>
  <sheetFormatPr defaultRowHeight="15"/>
  <cols>
    <col min="1" max="1" width="3.28515625" customWidth="1"/>
    <col min="2" max="2" width="20.7109375" bestFit="1" customWidth="1"/>
    <col min="3" max="3" width="12.7109375" customWidth="1"/>
    <col min="4" max="4" width="18.140625" bestFit="1" customWidth="1"/>
    <col min="5" max="5" width="9.5703125" bestFit="1" customWidth="1"/>
    <col min="6" max="6" width="9.5703125" customWidth="1"/>
    <col min="7" max="7" width="14.7109375" bestFit="1" customWidth="1"/>
  </cols>
  <sheetData>
    <row r="2" spans="2:7">
      <c r="B2" s="21" t="s">
        <v>9</v>
      </c>
      <c r="C2" s="16" t="s">
        <v>10</v>
      </c>
      <c r="D2" s="16" t="s">
        <v>11</v>
      </c>
      <c r="E2" s="16" t="s">
        <v>12</v>
      </c>
      <c r="F2" s="21" t="s">
        <v>20</v>
      </c>
      <c r="G2" s="15" t="s">
        <v>13</v>
      </c>
    </row>
    <row r="3" spans="2:7" ht="5.25" customHeight="1">
      <c r="B3" s="4"/>
      <c r="C3" s="4"/>
      <c r="D3" s="5"/>
      <c r="E3" s="5"/>
      <c r="F3" s="4"/>
      <c r="G3" s="2"/>
    </row>
    <row r="4" spans="2:7">
      <c r="B4" s="4"/>
      <c r="C4" s="6"/>
      <c r="D4" s="19" t="s">
        <v>14</v>
      </c>
      <c r="E4" s="13"/>
      <c r="F4" s="4"/>
      <c r="G4" s="18" t="s">
        <v>15</v>
      </c>
    </row>
    <row r="5" spans="2:7" ht="5.25" customHeight="1">
      <c r="B5" s="4"/>
      <c r="C5" s="4"/>
      <c r="D5" s="4"/>
      <c r="E5" s="4"/>
      <c r="F5" s="4"/>
      <c r="G5" s="4"/>
    </row>
    <row r="6" spans="2:7">
      <c r="B6" s="8" t="s">
        <v>16</v>
      </c>
      <c r="C6" s="8">
        <v>4</v>
      </c>
      <c r="D6" s="6">
        <v>2</v>
      </c>
      <c r="E6" s="3">
        <v>2</v>
      </c>
      <c r="F6" s="4">
        <f>SUMPRODUCT(C6:E6,$C$11:$E$11)</f>
        <v>3400</v>
      </c>
      <c r="G6" s="6">
        <v>800</v>
      </c>
    </row>
    <row r="7" spans="2:7">
      <c r="B7" s="2" t="s">
        <v>17</v>
      </c>
      <c r="C7" s="3">
        <v>6</v>
      </c>
      <c r="D7" s="2">
        <v>8</v>
      </c>
      <c r="E7" s="3">
        <v>0</v>
      </c>
      <c r="F7" s="26">
        <f>SUMPRODUCT(C7:E7,$C$11:$E$11)</f>
        <v>5400</v>
      </c>
      <c r="G7" s="7">
        <v>1200</v>
      </c>
    </row>
    <row r="8" spans="2:7" ht="5.25" customHeight="1">
      <c r="B8" s="2"/>
      <c r="C8" s="4"/>
      <c r="D8" s="2"/>
      <c r="E8" s="4"/>
      <c r="F8" s="4"/>
      <c r="G8" s="4"/>
    </row>
    <row r="9" spans="2:7" ht="15.75">
      <c r="B9" s="15" t="s">
        <v>18</v>
      </c>
      <c r="C9" s="22">
        <v>10</v>
      </c>
      <c r="D9" s="28">
        <v>6</v>
      </c>
      <c r="E9" s="22">
        <v>4</v>
      </c>
      <c r="F9" s="4"/>
      <c r="G9" s="27">
        <f>SUMPRODUCT(C9:E9,C11:E11)</f>
        <v>8400</v>
      </c>
    </row>
    <row r="10" spans="2:7" ht="5.25" customHeight="1">
      <c r="B10" s="4"/>
      <c r="C10" s="5"/>
      <c r="D10" s="5"/>
      <c r="E10" s="4"/>
      <c r="F10" s="4"/>
      <c r="G10" s="4"/>
    </row>
    <row r="11" spans="2:7" ht="15.75">
      <c r="B11" s="5" t="s">
        <v>21</v>
      </c>
      <c r="C11" s="24">
        <v>500</v>
      </c>
      <c r="D11" s="25">
        <v>300</v>
      </c>
      <c r="E11" s="24">
        <v>400</v>
      </c>
      <c r="F11" s="5"/>
      <c r="G11" s="23"/>
    </row>
    <row r="14" spans="2:7">
      <c r="B14" s="1" t="s">
        <v>22</v>
      </c>
    </row>
    <row r="15" spans="2:7">
      <c r="B15" t="s">
        <v>23</v>
      </c>
    </row>
    <row r="17" spans="2:4">
      <c r="B17" s="1" t="s">
        <v>24</v>
      </c>
    </row>
    <row r="18" spans="2:4">
      <c r="B18" t="s">
        <v>16</v>
      </c>
      <c r="C18" t="s">
        <v>25</v>
      </c>
    </row>
    <row r="19" spans="2:4">
      <c r="B19" t="s">
        <v>17</v>
      </c>
      <c r="C19" t="s">
        <v>26</v>
      </c>
    </row>
    <row r="20" spans="2:4">
      <c r="B20" t="s">
        <v>27</v>
      </c>
      <c r="C20" t="s">
        <v>28</v>
      </c>
    </row>
    <row r="21" spans="2:4">
      <c r="B21" t="s">
        <v>10</v>
      </c>
      <c r="C21" s="30" t="s">
        <v>29</v>
      </c>
      <c r="D21" s="29">
        <f>D11/3</f>
        <v>100</v>
      </c>
    </row>
    <row r="22" spans="2:4">
      <c r="B22" t="s">
        <v>10</v>
      </c>
      <c r="C22" s="31" t="s">
        <v>30</v>
      </c>
      <c r="D22" s="29">
        <f>(D11+E11)/2</f>
        <v>350</v>
      </c>
    </row>
  </sheetData>
  <conditionalFormatting sqref="F6:F7">
    <cfRule type="cellIs" dxfId="10" priority="1" operator="greaterThan">
      <formula>$G6</formula>
    </cfRule>
  </conditionalFormatting>
  <conditionalFormatting sqref="C11">
    <cfRule type="cellIs" dxfId="9" priority="2" operator="greaterThan">
      <formula>$D$21</formula>
    </cfRule>
  </conditionalFormatting>
  <conditionalFormatting sqref="C11">
    <cfRule type="cellIs" dxfId="8" priority="3" operator="greaterThan">
      <formula>$D$22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3AEAF-9343-4D1E-B4DA-3D33C82BF5D3}">
  <dimension ref="B2:G22"/>
  <sheetViews>
    <sheetView workbookViewId="0"/>
  </sheetViews>
  <sheetFormatPr defaultRowHeight="15"/>
  <cols>
    <col min="1" max="1" width="3.28515625" customWidth="1"/>
    <col min="2" max="2" width="20.7109375" bestFit="1" customWidth="1"/>
    <col min="3" max="3" width="12.7109375" customWidth="1"/>
    <col min="4" max="4" width="18.140625" bestFit="1" customWidth="1"/>
    <col min="5" max="5" width="9.5703125" bestFit="1" customWidth="1"/>
    <col min="6" max="6" width="9.5703125" customWidth="1"/>
    <col min="7" max="7" width="14.7109375" bestFit="1" customWidth="1"/>
  </cols>
  <sheetData>
    <row r="2" spans="2:7">
      <c r="B2" s="21" t="s">
        <v>9</v>
      </c>
      <c r="C2" s="16" t="s">
        <v>10</v>
      </c>
      <c r="D2" s="16" t="s">
        <v>11</v>
      </c>
      <c r="E2" s="16" t="s">
        <v>12</v>
      </c>
      <c r="F2" s="21" t="s">
        <v>20</v>
      </c>
      <c r="G2" s="15" t="s">
        <v>13</v>
      </c>
    </row>
    <row r="3" spans="2:7" ht="5.25" customHeight="1">
      <c r="B3" s="4"/>
      <c r="C3" s="4"/>
      <c r="D3" s="5"/>
      <c r="E3" s="5"/>
      <c r="F3" s="4"/>
      <c r="G3" s="2"/>
    </row>
    <row r="4" spans="2:7">
      <c r="B4" s="4"/>
      <c r="C4" s="6"/>
      <c r="D4" s="19" t="s">
        <v>14</v>
      </c>
      <c r="E4" s="13"/>
      <c r="F4" s="4"/>
      <c r="G4" s="18" t="s">
        <v>15</v>
      </c>
    </row>
    <row r="5" spans="2:7" ht="5.25" customHeight="1">
      <c r="B5" s="4"/>
      <c r="C5" s="4"/>
      <c r="D5" s="4"/>
      <c r="E5" s="4"/>
      <c r="F5" s="4"/>
      <c r="G5" s="4"/>
    </row>
    <row r="6" spans="2:7">
      <c r="B6" s="8" t="s">
        <v>16</v>
      </c>
      <c r="C6" s="8">
        <v>4</v>
      </c>
      <c r="D6" s="6">
        <v>2</v>
      </c>
      <c r="E6" s="3">
        <v>2</v>
      </c>
      <c r="F6" s="4">
        <f>SUMPRODUCT(C6:E6,$C$11:$E$11)</f>
        <v>800</v>
      </c>
      <c r="G6" s="6">
        <v>800</v>
      </c>
    </row>
    <row r="7" spans="2:7">
      <c r="B7" s="2" t="s">
        <v>17</v>
      </c>
      <c r="C7" s="3">
        <v>6</v>
      </c>
      <c r="D7" s="2">
        <v>8</v>
      </c>
      <c r="E7" s="3">
        <v>0</v>
      </c>
      <c r="F7" s="26">
        <f>SUMPRODUCT(C7:E7,$C$11:$E$11)</f>
        <v>1200</v>
      </c>
      <c r="G7" s="7">
        <v>1200</v>
      </c>
    </row>
    <row r="8" spans="2:7" ht="5.25" customHeight="1">
      <c r="B8" s="2"/>
      <c r="C8" s="4"/>
      <c r="D8" s="2"/>
      <c r="E8" s="4"/>
      <c r="F8" s="4"/>
      <c r="G8" s="4"/>
    </row>
    <row r="9" spans="2:7" ht="15.75">
      <c r="B9" s="15" t="s">
        <v>18</v>
      </c>
      <c r="C9" s="22">
        <v>10</v>
      </c>
      <c r="D9" s="28">
        <v>6</v>
      </c>
      <c r="E9" s="22">
        <v>4</v>
      </c>
      <c r="F9" s="4"/>
      <c r="G9" s="27">
        <f>SUMPRODUCT(C9:E9,C11:E11)</f>
        <v>1920</v>
      </c>
    </row>
    <row r="10" spans="2:7" ht="5.25" customHeight="1">
      <c r="B10" s="4"/>
      <c r="C10" s="5"/>
      <c r="D10" s="5"/>
      <c r="E10" s="4"/>
      <c r="F10" s="4"/>
      <c r="G10" s="4"/>
    </row>
    <row r="11" spans="2:7" ht="15.75">
      <c r="B11" s="5" t="s">
        <v>21</v>
      </c>
      <c r="C11" s="24">
        <v>40</v>
      </c>
      <c r="D11" s="25">
        <v>120</v>
      </c>
      <c r="E11" s="24">
        <v>200</v>
      </c>
      <c r="F11" s="5"/>
      <c r="G11" s="23"/>
    </row>
    <row r="14" spans="2:7">
      <c r="B14" s="1" t="s">
        <v>22</v>
      </c>
    </row>
    <row r="15" spans="2:7">
      <c r="B15" t="s">
        <v>23</v>
      </c>
    </row>
    <row r="17" spans="2:4">
      <c r="B17" s="1" t="s">
        <v>24</v>
      </c>
    </row>
    <row r="18" spans="2:4">
      <c r="B18" t="s">
        <v>16</v>
      </c>
      <c r="C18" t="s">
        <v>25</v>
      </c>
    </row>
    <row r="19" spans="2:4">
      <c r="B19" t="s">
        <v>17</v>
      </c>
      <c r="C19" t="s">
        <v>26</v>
      </c>
    </row>
    <row r="20" spans="2:4">
      <c r="B20" t="s">
        <v>27</v>
      </c>
      <c r="C20" t="s">
        <v>28</v>
      </c>
    </row>
    <row r="21" spans="2:4">
      <c r="B21" t="s">
        <v>10</v>
      </c>
      <c r="C21" s="30" t="s">
        <v>29</v>
      </c>
      <c r="D21" s="29">
        <f>D11/3</f>
        <v>40</v>
      </c>
    </row>
    <row r="22" spans="2:4">
      <c r="B22" t="s">
        <v>10</v>
      </c>
      <c r="C22" s="31" t="s">
        <v>30</v>
      </c>
      <c r="D22" s="29">
        <f>(D11+E11)/2</f>
        <v>160</v>
      </c>
    </row>
  </sheetData>
  <conditionalFormatting sqref="F6:F7">
    <cfRule type="cellIs" dxfId="7" priority="2" operator="greaterThan">
      <formula>$G6</formula>
    </cfRule>
  </conditionalFormatting>
  <conditionalFormatting sqref="C11">
    <cfRule type="cellIs" dxfId="6" priority="3" operator="greaterThan">
      <formula>$D$21</formula>
    </cfRule>
  </conditionalFormatting>
  <conditionalFormatting sqref="C11">
    <cfRule type="cellIs" dxfId="5" priority="4" operator="greaterThan">
      <formula>$D$22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AEFE0-0C78-46A3-AF9E-14D2A249A81A}">
  <dimension ref="B2:G20"/>
  <sheetViews>
    <sheetView workbookViewId="0"/>
  </sheetViews>
  <sheetFormatPr defaultRowHeight="15"/>
  <cols>
    <col min="1" max="1" width="3.28515625" customWidth="1"/>
    <col min="2" max="2" width="20.7109375" bestFit="1" customWidth="1"/>
    <col min="3" max="3" width="12.7109375" customWidth="1"/>
    <col min="4" max="4" width="18.140625" bestFit="1" customWidth="1"/>
    <col min="5" max="5" width="9.5703125" bestFit="1" customWidth="1"/>
    <col min="6" max="6" width="9.5703125" customWidth="1"/>
    <col min="7" max="7" width="14.7109375" bestFit="1" customWidth="1"/>
  </cols>
  <sheetData>
    <row r="2" spans="2:7">
      <c r="B2" s="21" t="s">
        <v>9</v>
      </c>
      <c r="C2" s="16" t="s">
        <v>10</v>
      </c>
      <c r="D2" s="16" t="s">
        <v>11</v>
      </c>
      <c r="E2" s="16" t="s">
        <v>12</v>
      </c>
      <c r="F2" s="21" t="s">
        <v>20</v>
      </c>
      <c r="G2" s="15" t="s">
        <v>13</v>
      </c>
    </row>
    <row r="3" spans="2:7" ht="5.25" customHeight="1">
      <c r="B3" s="4"/>
      <c r="C3" s="4"/>
      <c r="D3" s="5"/>
      <c r="E3" s="5"/>
      <c r="F3" s="4"/>
      <c r="G3" s="2"/>
    </row>
    <row r="4" spans="2:7">
      <c r="B4" s="4"/>
      <c r="C4" s="6"/>
      <c r="D4" s="19" t="s">
        <v>14</v>
      </c>
      <c r="E4" s="13"/>
      <c r="F4" s="4"/>
      <c r="G4" s="18" t="s">
        <v>15</v>
      </c>
    </row>
    <row r="5" spans="2:7" ht="5.25" customHeight="1">
      <c r="B5" s="4"/>
      <c r="C5" s="4"/>
      <c r="D5" s="4"/>
      <c r="E5" s="4"/>
      <c r="F5" s="4"/>
      <c r="G5" s="4"/>
    </row>
    <row r="6" spans="2:7">
      <c r="B6" s="8" t="s">
        <v>16</v>
      </c>
      <c r="C6" s="8">
        <v>4</v>
      </c>
      <c r="D6" s="6">
        <v>2</v>
      </c>
      <c r="E6" s="3">
        <v>2</v>
      </c>
      <c r="F6" s="4">
        <f>SUMPRODUCT(C6:E6,$C$11:$E$11)</f>
        <v>800</v>
      </c>
      <c r="G6" s="6">
        <v>800</v>
      </c>
    </row>
    <row r="7" spans="2:7">
      <c r="B7" s="2" t="s">
        <v>17</v>
      </c>
      <c r="C7" s="3">
        <v>6</v>
      </c>
      <c r="D7" s="2">
        <v>8</v>
      </c>
      <c r="E7" s="3">
        <v>0</v>
      </c>
      <c r="F7" s="26">
        <f>SUMPRODUCT(C7:E7,$C$11:$E$11)</f>
        <v>1200</v>
      </c>
      <c r="G7" s="7">
        <v>1200</v>
      </c>
    </row>
    <row r="8" spans="2:7" ht="5.25" customHeight="1">
      <c r="B8" s="2"/>
      <c r="C8" s="4"/>
      <c r="D8" s="2"/>
      <c r="E8" s="4"/>
      <c r="F8" s="4"/>
      <c r="G8" s="4"/>
    </row>
    <row r="9" spans="2:7" ht="15.75">
      <c r="B9" s="15" t="s">
        <v>18</v>
      </c>
      <c r="C9" s="22">
        <v>10</v>
      </c>
      <c r="D9" s="28">
        <v>6</v>
      </c>
      <c r="E9" s="22">
        <v>4</v>
      </c>
      <c r="F9" s="4"/>
      <c r="G9" s="27">
        <f>SUMPRODUCT(C9:E9,C11:E11)</f>
        <v>2000</v>
      </c>
    </row>
    <row r="10" spans="2:7" ht="5.25" customHeight="1">
      <c r="B10" s="4"/>
      <c r="C10" s="5"/>
      <c r="D10" s="5"/>
      <c r="E10" s="4"/>
      <c r="F10" s="4"/>
      <c r="G10" s="4"/>
    </row>
    <row r="11" spans="2:7" ht="15.75">
      <c r="B11" s="5" t="s">
        <v>21</v>
      </c>
      <c r="C11" s="24">
        <v>200</v>
      </c>
      <c r="D11" s="25">
        <v>0</v>
      </c>
      <c r="E11" s="24">
        <v>0</v>
      </c>
      <c r="F11" s="5"/>
      <c r="G11" s="23"/>
    </row>
    <row r="14" spans="2:7">
      <c r="B14" s="1" t="s">
        <v>22</v>
      </c>
    </row>
    <row r="15" spans="2:7">
      <c r="B15" t="s">
        <v>23</v>
      </c>
    </row>
    <row r="17" spans="2:3">
      <c r="B17" s="1" t="s">
        <v>24</v>
      </c>
    </row>
    <row r="18" spans="2:3">
      <c r="B18" t="s">
        <v>16</v>
      </c>
      <c r="C18" t="s">
        <v>25</v>
      </c>
    </row>
    <row r="19" spans="2:3">
      <c r="B19" t="s">
        <v>17</v>
      </c>
      <c r="C19" t="s">
        <v>26</v>
      </c>
    </row>
    <row r="20" spans="2:3">
      <c r="B20" t="s">
        <v>27</v>
      </c>
      <c r="C20" t="s">
        <v>28</v>
      </c>
    </row>
  </sheetData>
  <conditionalFormatting sqref="F6:F7">
    <cfRule type="cellIs" dxfId="4" priority="4" operator="greaterThan">
      <formula>$G6</formula>
    </cfRule>
  </conditionalFormatting>
  <pageMargins left="0.7" right="0.7" top="0.75" bottom="0.75" header="0.3" footer="0.3"/>
  <drawing r:id="rId1"/>
  <extLst>
    <ext xmlns:x15="http://schemas.microsoft.com/office/spreadsheetml/2010/11/main" uri="{F7C9EE02-42E1-4005-9D12-6889AFFD525C}">
      <x15:webExtensions xmlns:xm="http://schemas.microsoft.com/office/excel/2006/main">
        <x15:webExtension appRef="{04DB2F37-F105-4C64-8779-6AC09953DB2B}">
          <xm:f>'Situação I - Sem Restrições'!$F$14:$F$16</xm:f>
        </x15:webExtension>
        <x15:webExtension appRef="{9CC2EB63-0CCB-43D8-A85D-FC32B9FED1BE}">
          <xm:f>'Situação I - Sem Restrições'!$C$11</xm:f>
        </x15:webExtension>
        <x15:webExtension appRef="{C8CF06A8-68DA-4156-885C-D6C0B11D0FC6}">
          <xm:f>'Situação I - Sem Restrições'!$D$11</xm:f>
        </x15:webExtension>
        <x15:webExtension appRef="{706BC3EE-CD34-465D-95CC-5F0870AC0A82}">
          <xm:f>'Situação I - Sem Restrições'!$E$11</xm:f>
        </x15:webExtension>
        <x15:webExtension appRef="{958E9B2E-63D4-4576-93F2-2ACEC188838C}">
          <xm:f>'Situação I - Sem Restrições'!$D$11</xm:f>
        </x15:webExtension>
        <x15:webExtension appRef="{D21254C8-762F-4572-A02A-08BAE276FF73}">
          <xm:f>'Situação I - Sem Restrições'!$E$11</xm:f>
        </x15:webExtension>
        <x15:webExtension appRef="{9CC2EB63-0CCB-43D8-A85D-FC32B9FED1BE}">
          <xm:f>'Situação I - Sem Restrições'!$C$11</xm:f>
        </x15:webExtension>
        <x15:webExtension appRef="{C8CF06A8-68DA-4156-885C-D6C0B11D0FC6}">
          <xm:f>'Situação I - Sem Restrições'!$D$11</xm:f>
        </x15:webExtension>
        <x15:webExtension appRef="{706BC3EE-CD34-465D-95CC-5F0870AC0A82}">
          <xm:f>'Situação I - Sem Restrições'!$E$11</xm:f>
        </x15:webExtension>
        <x15:webExtension appRef="{958E9B2E-63D4-4576-93F2-2ACEC188838C}">
          <xm:f>'Situação I - Sem Restrições'!$D$11</xm:f>
        </x15:webExtension>
        <x15:webExtension appRef="{D21254C8-762F-4572-A02A-08BAE276FF73}">
          <xm:f>'Situação I - Sem Restrições'!$E$11</xm:f>
        </x15:webExtension>
        <x15:webExtension appRef="{40EE0A53-9779-4D87-93FD-D4AC25448743}">
          <xm:f>'Situação I - Sem Restrições'!$F$14:$F$16</xm:f>
        </x15:webExtension>
        <x15:webExtension appRef="{9CC2EB63-0CCB-43D8-A85D-FC32B9FED1BE}">
          <xm:f>'Situação I - Sem Restrições'!$C$11</xm:f>
        </x15:webExtension>
        <x15:webExtension appRef="{C8CF06A8-68DA-4156-885C-D6C0B11D0FC6}">
          <xm:f>'Situação I - Sem Restrições'!$D$11</xm:f>
        </x15:webExtension>
        <x15:webExtension appRef="{706BC3EE-CD34-465D-95CC-5F0870AC0A82}">
          <xm:f>'Situação I - Sem Restrições'!$E$11</xm:f>
        </x15:webExtension>
        <x15:webExtension appRef="{958E9B2E-63D4-4576-93F2-2ACEC188838C}">
          <xm:f>'Situação I - Sem Restrições'!$D$11</xm:f>
        </x15:webExtension>
        <x15:webExtension appRef="{D21254C8-762F-4572-A02A-08BAE276FF73}">
          <xm:f>'Situação I - Sem Restrições'!$E$11</xm:f>
        </x15:webExtension>
        <x15:webExtension appRef="{40EE0A53-9779-4D87-93FD-D4AC25448743}">
          <xm:f>'Situação I - Sem Restrições'!$F$14:$F$16</xm:f>
        </x15:webExtension>
        <x15:webExtension appRef="{9CC2EB63-0CCB-43D8-A85D-FC32B9FED1BE}">
          <xm:f>'Situação I - Sem Restrições'!$C$11</xm:f>
        </x15:webExtension>
        <x15:webExtension appRef="{C8CF06A8-68DA-4156-885C-D6C0B11D0FC6}">
          <xm:f>'Situação I - Sem Restrições'!$D$11</xm:f>
        </x15:webExtension>
        <x15:webExtension appRef="{706BC3EE-CD34-465D-95CC-5F0870AC0A82}">
          <xm:f>'Situação I - Sem Restrições'!$E$11</xm:f>
        </x15:webExtension>
        <x15:webExtension appRef="{958E9B2E-63D4-4576-93F2-2ACEC188838C}">
          <xm:f>'Situação I - Sem Restrições'!$D$11</xm:f>
        </x15:webExtension>
        <x15:webExtension appRef="{D21254C8-762F-4572-A02A-08BAE276FF73}">
          <xm:f>'Situação I - Sem Restrições'!$E$11</xm:f>
        </x15:webExtension>
        <x15:webExtension appRef="{40EE0A53-9779-4D87-93FD-D4AC25448743}">
          <xm:f>'Situação I - Sem Restrições'!$F$14:$F$16</xm:f>
        </x15:webExtension>
        <x15:webExtension appRef="{9CC2EB63-0CCB-43D8-A85D-FC32B9FED1BE}">
          <xm:f>'Situação I - Sem Restrições'!$C$11</xm:f>
        </x15:webExtension>
        <x15:webExtension appRef="{C8CF06A8-68DA-4156-885C-D6C0B11D0FC6}">
          <xm:f>'Situação I - Sem Restrições'!$D$11</xm:f>
        </x15:webExtension>
        <x15:webExtension appRef="{706BC3EE-CD34-465D-95CC-5F0870AC0A82}">
          <xm:f>'Situação I - Sem Restrições'!$E$11</xm:f>
        </x15:webExtension>
        <x15:webExtension appRef="{958E9B2E-63D4-4576-93F2-2ACEC188838C}">
          <xm:f>'Situação I - Sem Restrições'!$D$11</xm:f>
        </x15:webExtension>
        <x15:webExtension appRef="{D21254C8-762F-4572-A02A-08BAE276FF73}">
          <xm:f>'Situação I - Sem Restrições'!$E$11</xm:f>
        </x15:webExtension>
        <x15:webExtension appRef="{40EE0A53-9779-4D87-93FD-D4AC25448743}">
          <xm:f>'Situação I - Sem Restrições'!$F$14:$F$16</xm:f>
        </x15:webExtension>
        <x15:webExtension appRef="{9CC2EB63-0CCB-43D8-A85D-FC32B9FED1BE}">
          <xm:f>'Situação I - Sem Restrições'!$C$11</xm:f>
        </x15:webExtension>
        <x15:webExtension appRef="{C8CF06A8-68DA-4156-885C-D6C0B11D0FC6}">
          <xm:f>'Situação I - Sem Restrições'!$D$11</xm:f>
        </x15:webExtension>
        <x15:webExtension appRef="{706BC3EE-CD34-465D-95CC-5F0870AC0A82}">
          <xm:f>'Situação I - Sem Restrições'!$E$11</xm:f>
        </x15:webExtension>
        <x15:webExtension appRef="{958E9B2E-63D4-4576-93F2-2ACEC188838C}">
          <xm:f>'Situação I - Sem Restrições'!$D$11</xm:f>
        </x15:webExtension>
        <x15:webExtension appRef="{D21254C8-762F-4572-A02A-08BAE276FF73}">
          <xm:f>'Situação I - Sem Restrições'!$E$11</xm:f>
        </x15:webExtension>
        <x15:webExtension appRef="{40EE0A53-9779-4D87-93FD-D4AC25448743}">
          <xm:f>'Situação I - Sem Restrições'!$F$14:$F$16</xm:f>
        </x15:webExtension>
        <x15:webExtension appRef="{9CC2EB63-0CCB-43D8-A85D-FC32B9FED1BE}">
          <xm:f>'Situação I - Sem Restrições'!$C$11</xm:f>
        </x15:webExtension>
        <x15:webExtension appRef="{C8CF06A8-68DA-4156-885C-D6C0B11D0FC6}">
          <xm:f>'Situação I - Sem Restrições'!$D$11</xm:f>
        </x15:webExtension>
        <x15:webExtension appRef="{706BC3EE-CD34-465D-95CC-5F0870AC0A82}">
          <xm:f>'Situação I - Sem Restrições'!$E$11</xm:f>
        </x15:webExtension>
        <x15:webExtension appRef="{958E9B2E-63D4-4576-93F2-2ACEC188838C}">
          <xm:f>'Situação I - Sem Restrições'!$D$11</xm:f>
        </x15:webExtension>
        <x15:webExtension appRef="{D21254C8-762F-4572-A02A-08BAE276FF73}">
          <xm:f>'Situação I - Sem Restrições'!$E$11</xm:f>
        </x15:webExtension>
        <x15:webExtension appRef="{40EE0A53-9779-4D87-93FD-D4AC25448743}">
          <xm:f>'Situação I - Sem Restrições'!$F$14:$F$16</xm:f>
        </x15:webExtension>
        <x15:webExtension appRef="{9CC2EB63-0CCB-43D8-A85D-FC32B9FED1BE}">
          <xm:f>'Situação I - Sem Restrições'!$C$11</xm:f>
        </x15:webExtension>
        <x15:webExtension appRef="{C8CF06A8-68DA-4156-885C-D6C0B11D0FC6}">
          <xm:f>'Situação I - Sem Restrições'!$D$11</xm:f>
        </x15:webExtension>
        <x15:webExtension appRef="{706BC3EE-CD34-465D-95CC-5F0870AC0A82}">
          <xm:f>'Situação I - Sem Restrições'!$E$11</xm:f>
        </x15:webExtension>
        <x15:webExtension appRef="{958E9B2E-63D4-4576-93F2-2ACEC188838C}">
          <xm:f>'Situação I - Sem Restrições'!$D$11</xm:f>
        </x15:webExtension>
        <x15:webExtension appRef="{D21254C8-762F-4572-A02A-08BAE276FF73}">
          <xm:f>'Situação I - Sem Restrições'!$E$11</xm:f>
        </x15:webExtension>
        <x15:webExtension appRef="{40EE0A53-9779-4D87-93FD-D4AC25448743}">
          <xm:f>'Situação I - Sem Restrições'!$F$14:$F$16</xm:f>
        </x15:webExtension>
      </x15:webExtens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A14A3-5207-4441-92BB-732B628BE977}">
  <dimension ref="B2:G21"/>
  <sheetViews>
    <sheetView workbookViewId="0"/>
  </sheetViews>
  <sheetFormatPr defaultRowHeight="15"/>
  <cols>
    <col min="1" max="1" width="3.28515625" customWidth="1"/>
    <col min="2" max="2" width="20.7109375" bestFit="1" customWidth="1"/>
    <col min="3" max="3" width="12.7109375" customWidth="1"/>
    <col min="4" max="4" width="18.140625" bestFit="1" customWidth="1"/>
    <col min="5" max="5" width="9.5703125" bestFit="1" customWidth="1"/>
    <col min="6" max="6" width="9.5703125" customWidth="1"/>
    <col min="7" max="7" width="14.7109375" bestFit="1" customWidth="1"/>
  </cols>
  <sheetData>
    <row r="2" spans="2:7">
      <c r="B2" s="21" t="s">
        <v>9</v>
      </c>
      <c r="C2" s="16" t="s">
        <v>10</v>
      </c>
      <c r="D2" s="16" t="s">
        <v>11</v>
      </c>
      <c r="E2" s="16" t="s">
        <v>12</v>
      </c>
      <c r="F2" s="21" t="s">
        <v>20</v>
      </c>
      <c r="G2" s="15" t="s">
        <v>13</v>
      </c>
    </row>
    <row r="3" spans="2:7" ht="5.25" customHeight="1">
      <c r="B3" s="4"/>
      <c r="C3" s="4"/>
      <c r="D3" s="5"/>
      <c r="E3" s="5"/>
      <c r="F3" s="4"/>
      <c r="G3" s="2"/>
    </row>
    <row r="4" spans="2:7">
      <c r="B4" s="4"/>
      <c r="C4" s="6"/>
      <c r="D4" s="19" t="s">
        <v>14</v>
      </c>
      <c r="E4" s="13"/>
      <c r="F4" s="4"/>
      <c r="G4" s="18" t="s">
        <v>15</v>
      </c>
    </row>
    <row r="5" spans="2:7" ht="5.25" customHeight="1">
      <c r="B5" s="4"/>
      <c r="C5" s="4"/>
      <c r="D5" s="4"/>
      <c r="E5" s="4"/>
      <c r="F5" s="4"/>
      <c r="G5" s="4"/>
    </row>
    <row r="6" spans="2:7">
      <c r="B6" s="8" t="s">
        <v>16</v>
      </c>
      <c r="C6" s="8">
        <v>4</v>
      </c>
      <c r="D6" s="6">
        <v>2</v>
      </c>
      <c r="E6" s="3">
        <v>2</v>
      </c>
      <c r="F6" s="4">
        <f>SUMPRODUCT(C6:E6,$C$11:$E$11)</f>
        <v>800</v>
      </c>
      <c r="G6" s="6">
        <v>800</v>
      </c>
    </row>
    <row r="7" spans="2:7">
      <c r="B7" s="2" t="s">
        <v>17</v>
      </c>
      <c r="C7" s="3">
        <v>6</v>
      </c>
      <c r="D7" s="2">
        <v>8</v>
      </c>
      <c r="E7" s="3">
        <v>0</v>
      </c>
      <c r="F7" s="26">
        <f>SUMPRODUCT(C7:E7,$C$11:$E$11)</f>
        <v>1200</v>
      </c>
      <c r="G7" s="7">
        <v>1200</v>
      </c>
    </row>
    <row r="8" spans="2:7" ht="5.25" customHeight="1">
      <c r="B8" s="2"/>
      <c r="C8" s="4"/>
      <c r="D8" s="2"/>
      <c r="E8" s="4"/>
      <c r="F8" s="4"/>
      <c r="G8" s="4"/>
    </row>
    <row r="9" spans="2:7" ht="15.75">
      <c r="B9" s="15" t="s">
        <v>18</v>
      </c>
      <c r="C9" s="22">
        <v>10</v>
      </c>
      <c r="D9" s="28">
        <v>6</v>
      </c>
      <c r="E9" s="22">
        <v>4</v>
      </c>
      <c r="F9" s="4"/>
      <c r="G9" s="27">
        <f>SUMPRODUCT(C9:E9,C11:E11)</f>
        <v>1920</v>
      </c>
    </row>
    <row r="10" spans="2:7" ht="5.25" customHeight="1">
      <c r="B10" s="4"/>
      <c r="C10" s="5"/>
      <c r="D10" s="5"/>
      <c r="E10" s="4"/>
      <c r="F10" s="4"/>
      <c r="G10" s="4"/>
    </row>
    <row r="11" spans="2:7" ht="15.75">
      <c r="B11" s="5" t="s">
        <v>21</v>
      </c>
      <c r="C11" s="24">
        <v>40</v>
      </c>
      <c r="D11" s="25">
        <v>120</v>
      </c>
      <c r="E11" s="24">
        <v>200</v>
      </c>
      <c r="F11" s="5"/>
      <c r="G11" s="23"/>
    </row>
    <row r="14" spans="2:7">
      <c r="B14" s="1" t="s">
        <v>22</v>
      </c>
    </row>
    <row r="15" spans="2:7">
      <c r="B15" t="s">
        <v>23</v>
      </c>
    </row>
    <row r="17" spans="2:4">
      <c r="B17" s="1" t="s">
        <v>24</v>
      </c>
    </row>
    <row r="18" spans="2:4">
      <c r="B18" t="s">
        <v>16</v>
      </c>
      <c r="C18" t="s">
        <v>25</v>
      </c>
    </row>
    <row r="19" spans="2:4">
      <c r="B19" t="s">
        <v>17</v>
      </c>
      <c r="C19" t="s">
        <v>26</v>
      </c>
    </row>
    <row r="20" spans="2:4">
      <c r="B20" t="s">
        <v>27</v>
      </c>
      <c r="C20" t="s">
        <v>28</v>
      </c>
    </row>
    <row r="21" spans="2:4">
      <c r="B21" t="s">
        <v>10</v>
      </c>
      <c r="C21" s="30" t="s">
        <v>29</v>
      </c>
      <c r="D21" s="29">
        <f>D11/3</f>
        <v>40</v>
      </c>
    </row>
  </sheetData>
  <conditionalFormatting sqref="F6:F7">
    <cfRule type="cellIs" dxfId="3" priority="2" operator="greaterThan">
      <formula>$G6</formula>
    </cfRule>
  </conditionalFormatting>
  <conditionalFormatting sqref="C11">
    <cfRule type="cellIs" dxfId="2" priority="3" operator="greaterThan">
      <formula>$D$21</formula>
    </cfRule>
  </conditionalFormatting>
  <pageMargins left="0.7" right="0.7" top="0.75" bottom="0.75" header="0.3" footer="0.3"/>
  <drawing r:id="rId1"/>
  <extLst>
    <ext xmlns:x15="http://schemas.microsoft.com/office/spreadsheetml/2010/11/main" uri="{F7C9EE02-42E1-4005-9D12-6889AFFD525C}">
      <x15:webExtensions xmlns:xm="http://schemas.microsoft.com/office/excel/2006/main">
        <x15:webExtension appRef="{BA39D198-3821-4E82-BCE9-7B9A9E7A1C22}">
          <xm:f>'Situação II - P &lt;= Q div 3'!1:1048576</xm:f>
        </x15:webExtension>
        <x15:webExtension appRef="{7CEFB395-1809-4169-B6A1-CF952BBF2907}">
          <xm:f>'Situação II - P &lt;= Q div 3'!XFD1048549:XFD1048574</xm:f>
        </x15:webExtension>
        <x15:webExtension appRef="{6D774492-8208-4709-839F-0F102F717B68}">
          <xm:f>'Situação II - P &lt;= Q div 3'!$G$9</xm:f>
        </x15:webExtension>
        <x15:webExtension appRef="{AF7D00A5-9A42-4BD7-A59D-2E3B8CB854DF}">
          <xm:f>'Situação II - P &lt;= Q div 3'!$C$11:$E$11</xm:f>
        </x15:webExtension>
        <x15:webExtension appRef="{1E3BF1FE-41CB-454C-B00B-A313B03E7488}">
          <xm:f>'Situação II - P &lt;= Q div 3'!$C$11:$E$11</xm:f>
        </x15:webExtension>
        <x15:webExtension appRef="{81D3A228-0070-47F8-A2B8-FD65485B676E}">
          <xm:f>'Situação II - P &lt;= Q div 3'!1:1048576</xm:f>
        </x15:webExtension>
        <x15:webExtension appRef="{19F5D9BF-593A-4A04-BA92-6D65E14608C0}">
          <xm:f>'Situação II - P &lt;= Q div 3'!XFD1048550:XFD1048575</xm:f>
        </x15:webExtension>
        <x15:webExtension appRef="{58E69EDC-071F-4D65-B15A-3F086B4137DA}">
          <xm:f>'Situação II - P &lt;= Q div 3'!$G$9</xm:f>
        </x15:webExtension>
      </x15:webExtens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F997B-4A0C-4628-95BB-62C37684D37F}">
  <dimension ref="B2:XFD1048575"/>
  <sheetViews>
    <sheetView topLeftCell="B2" workbookViewId="0"/>
  </sheetViews>
  <sheetFormatPr defaultRowHeight="15"/>
  <cols>
    <col min="1" max="1" width="3.28515625" customWidth="1"/>
    <col min="2" max="2" width="20.7109375" bestFit="1" customWidth="1"/>
    <col min="3" max="3" width="12.7109375" customWidth="1"/>
    <col min="4" max="4" width="18.140625" bestFit="1" customWidth="1"/>
    <col min="5" max="5" width="9.5703125" bestFit="1" customWidth="1"/>
    <col min="6" max="6" width="9.5703125" customWidth="1"/>
    <col min="7" max="7" width="14.7109375" bestFit="1" customWidth="1"/>
  </cols>
  <sheetData>
    <row r="2" spans="2:7">
      <c r="B2" s="21" t="s">
        <v>9</v>
      </c>
      <c r="C2" s="16" t="s">
        <v>10</v>
      </c>
      <c r="D2" s="16" t="s">
        <v>11</v>
      </c>
      <c r="E2" s="16" t="s">
        <v>12</v>
      </c>
      <c r="F2" s="21" t="s">
        <v>20</v>
      </c>
      <c r="G2" s="15" t="s">
        <v>13</v>
      </c>
    </row>
    <row r="3" spans="2:7" ht="5.25" customHeight="1">
      <c r="B3" s="4"/>
      <c r="C3" s="4"/>
      <c r="D3" s="5"/>
      <c r="E3" s="5"/>
      <c r="F3" s="4"/>
      <c r="G3" s="2"/>
    </row>
    <row r="4" spans="2:7">
      <c r="B4" s="4"/>
      <c r="C4" s="6"/>
      <c r="D4" s="19" t="s">
        <v>14</v>
      </c>
      <c r="E4" s="13"/>
      <c r="F4" s="4"/>
      <c r="G4" s="18" t="s">
        <v>15</v>
      </c>
    </row>
    <row r="5" spans="2:7" ht="5.25" customHeight="1">
      <c r="B5" s="4"/>
      <c r="C5" s="4"/>
      <c r="D5" s="4"/>
      <c r="E5" s="4"/>
      <c r="F5" s="4"/>
      <c r="G5" s="4"/>
    </row>
    <row r="6" spans="2:7">
      <c r="B6" s="8" t="s">
        <v>16</v>
      </c>
      <c r="C6" s="8">
        <v>4</v>
      </c>
      <c r="D6" s="6">
        <v>2</v>
      </c>
      <c r="E6" s="3">
        <v>2</v>
      </c>
      <c r="F6" s="4">
        <f>SUMPRODUCT(C6:E6,$C$11:$E$11)</f>
        <v>800</v>
      </c>
      <c r="G6" s="6">
        <v>800</v>
      </c>
    </row>
    <row r="7" spans="2:7">
      <c r="B7" s="2" t="s">
        <v>17</v>
      </c>
      <c r="C7" s="3">
        <v>6</v>
      </c>
      <c r="D7" s="2">
        <v>8</v>
      </c>
      <c r="E7" s="3">
        <v>0</v>
      </c>
      <c r="F7" s="26">
        <f>SUMPRODUCT(C7:E7,$C$11:$E$11)</f>
        <v>1200</v>
      </c>
      <c r="G7" s="7">
        <v>1200</v>
      </c>
    </row>
    <row r="8" spans="2:7" ht="5.25" customHeight="1">
      <c r="B8" s="2"/>
      <c r="C8" s="4"/>
      <c r="D8" s="2"/>
      <c r="E8" s="4"/>
      <c r="F8" s="4"/>
      <c r="G8" s="4"/>
    </row>
    <row r="9" spans="2:7" ht="15.75">
      <c r="B9" s="15" t="s">
        <v>18</v>
      </c>
      <c r="C9" s="22">
        <v>10</v>
      </c>
      <c r="D9" s="28">
        <v>6</v>
      </c>
      <c r="E9" s="22">
        <v>4</v>
      </c>
      <c r="F9" s="4"/>
      <c r="G9" s="27">
        <f>SUMPRODUCT(C9:E9,C11:E11)</f>
        <v>1950</v>
      </c>
    </row>
    <row r="10" spans="2:7" ht="5.25" customHeight="1">
      <c r="B10" s="4"/>
      <c r="C10" s="5"/>
      <c r="D10" s="5"/>
      <c r="E10" s="4"/>
      <c r="F10" s="4"/>
      <c r="G10" s="4"/>
    </row>
    <row r="11" spans="2:7" ht="15.75">
      <c r="B11" s="5" t="s">
        <v>21</v>
      </c>
      <c r="C11" s="24">
        <v>100</v>
      </c>
      <c r="D11" s="25">
        <v>75</v>
      </c>
      <c r="E11" s="24">
        <v>125</v>
      </c>
      <c r="F11" s="5"/>
      <c r="G11" s="23"/>
    </row>
    <row r="14" spans="2:7">
      <c r="B14" s="1" t="s">
        <v>22</v>
      </c>
    </row>
    <row r="15" spans="2:7">
      <c r="B15" t="s">
        <v>23</v>
      </c>
    </row>
    <row r="17" spans="2:4">
      <c r="B17" s="1" t="s">
        <v>24</v>
      </c>
    </row>
    <row r="18" spans="2:4">
      <c r="B18" t="s">
        <v>16</v>
      </c>
      <c r="C18" t="s">
        <v>25</v>
      </c>
    </row>
    <row r="19" spans="2:4">
      <c r="B19" t="s">
        <v>17</v>
      </c>
      <c r="C19" t="s">
        <v>26</v>
      </c>
    </row>
    <row r="20" spans="2:4">
      <c r="B20" t="s">
        <v>27</v>
      </c>
      <c r="C20" t="s">
        <v>28</v>
      </c>
    </row>
    <row r="21" spans="2:4">
      <c r="B21" t="s">
        <v>10</v>
      </c>
      <c r="C21" s="30" t="s">
        <v>31</v>
      </c>
      <c r="D21" s="29">
        <f>(D11+E11)/2</f>
        <v>100</v>
      </c>
    </row>
    <row r="1048550" spans="16384:16384">
      <c r="XFD1048550" t="e" cm="1">
        <f t="array" aca="1" ref="XFD1048550" ca="1">solver_pre</f>
        <v>#NAME?</v>
      </c>
    </row>
    <row r="1048551" spans="16384:16384">
      <c r="XFD1048551" t="e" cm="1">
        <f t="array" aca="1" ref="XFD1048551" ca="1">solver_scl</f>
        <v>#NAME?</v>
      </c>
    </row>
    <row r="1048552" spans="16384:16384">
      <c r="XFD1048552" t="e" cm="1">
        <f t="array" aca="1" ref="XFD1048552" ca="1">solver_rlx</f>
        <v>#NAME?</v>
      </c>
    </row>
    <row r="1048553" spans="16384:16384">
      <c r="XFD1048553" t="e" cm="1">
        <f t="array" aca="1" ref="XFD1048553" ca="1">solver_tol</f>
        <v>#NAME?</v>
      </c>
    </row>
    <row r="1048554" spans="16384:16384">
      <c r="XFD1048554" t="e" cm="1">
        <f t="array" aca="1" ref="XFD1048554" ca="1">solver_cvg</f>
        <v>#NAME?</v>
      </c>
    </row>
    <row r="1048555" spans="16384:16384">
      <c r="XFD1048555" t="e" cm="1">
        <f t="array" aca="1" ref="XFD1048555" ca="1">_xludf.Areas(solver_adj1)</f>
        <v>#NAME?</v>
      </c>
    </row>
    <row r="1048556" spans="16384:16384">
      <c r="XFD1048556" t="e" cm="1">
        <f t="array" aca="1" ref="XFD1048556" ca="1">solver_ssz</f>
        <v>#NAME?</v>
      </c>
    </row>
    <row r="1048557" spans="16384:16384">
      <c r="XFD1048557" t="e" cm="1">
        <f t="array" aca="1" ref="XFD1048557" ca="1">solver_rsd</f>
        <v>#NAME?</v>
      </c>
    </row>
    <row r="1048558" spans="16384:16384">
      <c r="XFD1048558" t="e" cm="1">
        <f t="array" aca="1" ref="XFD1048558" ca="1">solver_mrt</f>
        <v>#NAME?</v>
      </c>
    </row>
    <row r="1048559" spans="16384:16384">
      <c r="XFD1048559" t="e" cm="1">
        <f t="array" aca="1" ref="XFD1048559" ca="1">solver_mni</f>
        <v>#NAME?</v>
      </c>
    </row>
    <row r="1048560" spans="16384:16384">
      <c r="XFD1048560" t="e" cm="1">
        <f t="array" aca="1" ref="XFD1048560" ca="1">solver_rbv</f>
        <v>#NAME?</v>
      </c>
    </row>
    <row r="1048561" spans="16384:16384">
      <c r="XFD1048561" t="e" cm="1">
        <f t="array" aca="1" ref="XFD1048561" ca="1">solver_neg</f>
        <v>#NAME?</v>
      </c>
    </row>
    <row r="1048562" spans="16384:16384">
      <c r="XFD1048562" t="e" cm="1">
        <f t="array" aca="1" ref="XFD1048562" ca="1">solver_ntr</f>
        <v>#NAME?</v>
      </c>
    </row>
    <row r="1048563" spans="16384:16384">
      <c r="XFD1048563" t="e" cm="1">
        <f t="array" aca="1" ref="XFD1048563" ca="1">solver_acc</f>
        <v>#NAME?</v>
      </c>
    </row>
    <row r="1048564" spans="16384:16384">
      <c r="XFD1048564" t="e" cm="1">
        <f t="array" aca="1" ref="XFD1048564" ca="1">solver_res</f>
        <v>#NAME?</v>
      </c>
    </row>
    <row r="1048565" spans="16384:16384">
      <c r="XFD1048565" t="e" cm="1">
        <f t="array" aca="1" ref="XFD1048565" ca="1">solver_ars</f>
        <v>#NAME?</v>
      </c>
    </row>
    <row r="1048566" spans="16384:16384">
      <c r="XFD1048566" t="e" cm="1">
        <f t="array" aca="1" ref="XFD1048566" ca="1">solver_sta</f>
        <v>#NAME?</v>
      </c>
    </row>
    <row r="1048567" spans="16384:16384">
      <c r="XFD1048567" t="e" cm="1">
        <f t="array" aca="1" ref="XFD1048567" ca="1">solver_met</f>
        <v>#NAME?</v>
      </c>
    </row>
    <row r="1048568" spans="16384:16384">
      <c r="XFD1048568" t="e" cm="1">
        <f t="array" aca="1" ref="XFD1048568" ca="1">solver_soc</f>
        <v>#NAME?</v>
      </c>
    </row>
    <row r="1048569" spans="16384:16384">
      <c r="XFD1048569" t="e" cm="1">
        <f t="array" aca="1" ref="XFD1048569" ca="1">solver_lpt</f>
        <v>#NAME?</v>
      </c>
    </row>
    <row r="1048570" spans="16384:16384">
      <c r="XFD1048570" t="e" cm="1">
        <f t="array" aca="1" ref="XFD1048570" ca="1">solver_lpp</f>
        <v>#NAME?</v>
      </c>
    </row>
    <row r="1048571" spans="16384:16384">
      <c r="XFD1048571" t="e" cm="1">
        <f t="array" aca="1" ref="XFD1048571" ca="1">solver_gap</f>
        <v>#NAME?</v>
      </c>
    </row>
    <row r="1048572" spans="16384:16384">
      <c r="XFD1048572" t="e" cm="1">
        <f t="array" aca="1" ref="XFD1048572" ca="1">solver_ips</f>
        <v>#NAME?</v>
      </c>
    </row>
    <row r="1048573" spans="16384:16384">
      <c r="XFD1048573" t="e" cm="1">
        <f t="array" aca="1" ref="XFD1048573" ca="1">solver_fea</f>
        <v>#NAME?</v>
      </c>
    </row>
    <row r="1048574" spans="16384:16384">
      <c r="XFD1048574" t="e" cm="1">
        <f t="array" aca="1" ref="XFD1048574" ca="1">solver_ipi</f>
        <v>#NAME?</v>
      </c>
    </row>
    <row r="1048575" spans="16384:16384">
      <c r="XFD1048575" t="e" cm="1">
        <f t="array" aca="1" ref="XFD1048575" ca="1">solver_ipd</f>
        <v>#NAME?</v>
      </c>
    </row>
  </sheetData>
  <conditionalFormatting sqref="F6:F7">
    <cfRule type="cellIs" dxfId="1" priority="1" operator="greaterThan">
      <formula>$G6</formula>
    </cfRule>
  </conditionalFormatting>
  <conditionalFormatting sqref="C11">
    <cfRule type="cellIs" dxfId="0" priority="2" operator="greaterThan">
      <formula>$D$21</formula>
    </cfRule>
  </conditionalFormatting>
  <pageMargins left="0.7" right="0.7" top="0.75" bottom="0.75" header="0.3" footer="0.3"/>
  <drawing r:id="rId1"/>
  <extLst>
    <ext xmlns:x15="http://schemas.microsoft.com/office/spreadsheetml/2010/11/main" uri="{F7C9EE02-42E1-4005-9D12-6889AFFD525C}">
      <x15:webExtensions xmlns:xm="http://schemas.microsoft.com/office/excel/2006/main">
        <x15:webExtension appRef="{3BC31198-E013-4205-AD46-A2C0D6A45E1A}">
          <xm:f>'Situação III - P &lt;= media(Q, R)'!$C$11:$E$11</xm:f>
        </x15:webExtension>
        <x15:webExtension appRef="{DD8A4EE3-D5E4-4AF3-92E5-81C99F5CD354}">
          <xm:f>'Situação III - P &lt;= media(Q, R)'!1:1048576</xm:f>
        </x15:webExtension>
        <x15:webExtension appRef="{0A787605-5141-471E-BFB5-DFBD3AFA80CF}">
          <xm:f>'Situação III - P &lt;= media(Q, R)'!XFD1048550:XFD1048575</xm:f>
        </x15:webExtension>
        <x15:webExtension appRef="{A5FE8468-EF12-41D0-AD44-0521861C206A}">
          <xm:f>'Situação III - P &lt;= media(Q, R)'!$G$9</xm:f>
        </x15:webExtension>
        <x15:webExtension appRef="{D2D3D2DE-2687-458A-9016-82F6821A1A5D}">
          <xm:f>'Situação III - P &lt;= media(Q, R)'!$C$11:$E$11</xm:f>
        </x15:webExtension>
        <x15:webExtension appRef="{20795426-4960-4196-9C47-C04CE1B6946F}">
          <xm:f>'Situação III - P &lt;= media(Q, R)'!1:1048576</xm:f>
        </x15:webExtension>
        <x15:webExtension appRef="{B1030A23-6793-44D4-92C2-E56A348D9413}">
          <xm:f>'Situação III - P &lt;= media(Q, R)'!XFD1048550:XFD1048575</xm:f>
        </x15:webExtension>
        <x15:webExtension appRef="{6F11D4D5-DA86-4913-A890-30110B091CD1}">
          <xm:f>'Situação III - P &lt;= media(Q, R)'!$G$9</xm:f>
        </x15:webExtension>
        <x15:webExtension appRef="{61BE32EB-6E48-4587-A84F-E11C8A460099}">
          <xm:f>'Situação III - P &lt;= media(Q, R)'!$C$11:$E$11</xm:f>
        </x15:webExtension>
        <x15:webExtension appRef="{7A3EE6AE-5920-495E-9049-CD98FA5A2081}">
          <xm:f>'Situação III - P &lt;= media(Q, R)'!1:1048576</xm:f>
        </x15:webExtension>
        <x15:webExtension appRef="{6C7950FE-9C5B-40C3-B005-65AC9057FC3C}">
          <xm:f>'Situação III - P &lt;= media(Q, R)'!XFD1048550:XFD1048575</xm:f>
        </x15:webExtension>
        <x15:webExtension appRef="{2E1E5A66-808A-4468-85B8-88D296AC470D}">
          <xm:f>'Situação III - P &lt;= media(Q, R)'!$G$9</xm:f>
        </x15:webExtension>
        <x15:webExtension appRef="{9B54CB13-998A-4CED-9B15-A10DD9D7025E}">
          <xm:f>'Situação III - P &lt;= media(Q, R)'!$C$11:$E$11</xm:f>
        </x15:webExtension>
        <x15:webExtension appRef="{2B010FD1-FA99-4865-BAD2-27BD17575F5C}">
          <xm:f>'Situação III - P &lt;= media(Q, R)'!1:1048576</xm:f>
        </x15:webExtension>
        <x15:webExtension appRef="{51F62EAA-EF6F-4909-9BA7-CF841F8BD971}">
          <xm:f>'Situação III - P &lt;= media(Q, R)'!XFD1048550:XFD1048575</xm:f>
        </x15:webExtension>
        <x15:webExtension appRef="{4663B0BC-A81F-49AE-A0DB-2BD39BE06F47}">
          <xm:f>'Situação III - P &lt;= media(Q, R)'!$G$9</xm:f>
        </x15:webExtension>
      </x15:webExtens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2024-04-01T13:16:43Z</dcterms:created>
  <dcterms:modified xsi:type="dcterms:W3CDTF">2024-04-03T16:23:22Z</dcterms:modified>
  <cp:category/>
  <cp:contentStatus/>
</cp:coreProperties>
</file>